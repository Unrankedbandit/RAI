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3b1880fee146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erial Indices" sheetId="1" r:id="R672053b8e64a4c50"/>
    <x:sheet xmlns:r="http://schemas.openxmlformats.org/officeDocument/2006/relationships" name="Demand Index" sheetId="2" r:id="Rcb563d527d484f2b"/>
    <x:sheet xmlns:r="http://schemas.openxmlformats.org/officeDocument/2006/relationships" name="Critical Dependencies" sheetId="3" r:id="R541e52abf15143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22222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a9eef75ed84fad" /><Relationship Type="http://schemas.openxmlformats.org/officeDocument/2006/relationships/theme" Target="/xl/theme/theme1.xml" Id="R5fe8c6da08fe4e47" /><Relationship Type="http://schemas.openxmlformats.org/officeDocument/2006/relationships/sharedStrings" Target="/xl/sharedStrings.xml" Id="R7ae5746da27f4a24" /><Relationship Type="http://schemas.openxmlformats.org/officeDocument/2006/relationships/worksheet" Target="/xl/worksheets/sheet1.xml" Id="R672053b8e64a4c50" /><Relationship Type="http://schemas.openxmlformats.org/officeDocument/2006/relationships/worksheet" Target="/xl/worksheets/sheet2.xml" Id="Rcb563d527d484f2b" /><Relationship Type="http://schemas.openxmlformats.org/officeDocument/2006/relationships/worksheet" Target="/xl/worksheets/sheet3.xml" Id="R541e52abf151438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544c63dbdac4ea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f48ee19bd202434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International Landed-Cost Material Index (Synthetic)</a:t>
            </a:r>
          </a:p>
        </c:rich>
      </c:tx>
    </c:title>
    <c:plotArea>
      <c:lineChart>
        <c:grouping val="standard"/>
        <c:ser>
          <c:idx val="0"/>
          <c:order val="0"/>
          <c:tx>
            <c:v>Jan-26</c:v>
          </c:tx>
          <c:marker>
            <c:symbol val="none"/>
          </c:marker>
          <c:cat>
            <c:strRef>
              <c:f>'Material Indices'!$A$2:$A$6</c:f>
              <c:strCache>
                <c:ptCount val="0"/>
              </c:strCache>
            </c:strRef>
          </c:cat>
          <c:val>
            <c:numRef>
              <c:f>'Material Indices'!$B$2:$B$6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Feb-26</c:v>
          </c:tx>
          <c:marker>
            <c:symbol val="none"/>
          </c:marker>
          <c:cat>
            <c:strRef>
              <c:f>'Material Indices'!$A$2:$A$6</c:f>
              <c:strCache>
                <c:ptCount val="0"/>
              </c:strCache>
            </c:strRef>
          </c:cat>
          <c:val>
            <c:numRef>
              <c:f>'Material Indices'!$C$2:$C$6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Mar-26</c:v>
          </c:tx>
          <c:marker>
            <c:symbol val="none"/>
          </c:marker>
          <c:cat>
            <c:strRef>
              <c:f>'Material Indices'!$A$2:$A$6</c:f>
              <c:strCache>
                <c:ptCount val="0"/>
              </c:strCache>
            </c:strRef>
          </c:cat>
          <c:val>
            <c:numRef>
              <c:f>'Material Indices'!$D$2:$D$6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Apr-26</c:v>
          </c:tx>
          <c:marker>
            <c:symbol val="none"/>
          </c:marker>
          <c:cat>
            <c:strRef>
              <c:f>'Material Indices'!$A$2:$A$6</c:f>
              <c:strCache>
                <c:ptCount val="0"/>
              </c:strCache>
            </c:strRef>
          </c:cat>
          <c:val>
            <c:numRef>
              <c:f>'Material Indices'!$E$2:$E$6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May-26</c:v>
          </c:tx>
          <c:marker>
            <c:symbol val="none"/>
          </c:marker>
          <c:cat>
            <c:strRef>
              <c:f>'Material Indices'!$A$2:$A$6</c:f>
              <c:strCache>
                <c:ptCount val="0"/>
              </c:strCache>
            </c:strRef>
          </c:cat>
          <c:val>
            <c:numRef>
              <c:f>'Material Indices'!$F$2:$F$6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Jun-26</c:v>
          </c:tx>
          <c:marker>
            <c:symbol val="none"/>
          </c:marker>
          <c:cat>
            <c:strRef>
              <c:f>'Material Indices'!$A$2:$A$6</c:f>
              <c:strCache>
                <c:ptCount val="0"/>
              </c:strCache>
            </c:strRef>
          </c:cat>
          <c:val>
            <c:numRef>
              <c:f>'Material Indices'!$G$2:$G$6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v>Jul-26</c:v>
          </c:tx>
          <c:marker>
            <c:symbol val="none"/>
          </c:marker>
          <c:cat>
            <c:strRef>
              <c:f>'Material Indices'!$A$2:$A$6</c:f>
              <c:strCache>
                <c:ptCount val="0"/>
              </c:strCache>
            </c:strRef>
          </c:cat>
          <c:val>
            <c:numRef>
              <c:f>'Material Indices'!$H$2:$H$6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v>Aug-26</c:v>
          </c:tx>
          <c:marker>
            <c:symbol val="none"/>
          </c:marker>
          <c:cat>
            <c:strRef>
              <c:f>'Material Indices'!$A$2:$A$6</c:f>
              <c:strCache>
                <c:ptCount val="0"/>
              </c:strCache>
            </c:strRef>
          </c:cat>
          <c:val>
            <c:numRef>
              <c:f>'Material Indices'!$I$2:$I$6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Merchant Price Scenarios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'Demand Index'!$A$1:$A$4</c:f>
              <c:strCache>
                <c:ptCount val="0"/>
              </c:strCache>
            </c:strRef>
          </c:cat>
          <c:val>
            <c:numRef>
              <c:f>'Demand Index'!$B$1:$B$4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marker>
            <c:symbol val="none"/>
          </c:marker>
          <c:cat>
            <c:strRef>
              <c:f>'Demand Index'!$A$1:$A$4</c:f>
              <c:strCache>
                <c:ptCount val="0"/>
              </c:strCache>
            </c:strRef>
          </c:cat>
          <c:val>
            <c:numRef>
              <c:f>'Demand Index'!$C$1:$C$4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Series 3</c:v>
          </c:tx>
          <c:marker>
            <c:symbol val="none"/>
          </c:marker>
          <c:cat>
            <c:strRef>
              <c:f>'Demand Index'!$A$1:$A$4</c:f>
              <c:strCache>
                <c:ptCount val="0"/>
              </c:strCache>
            </c:strRef>
          </c:cat>
          <c:val>
            <c:numRef>
              <c:f>'Demand Index'!$D$1:$D$4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Series 4</c:v>
          </c:tx>
          <c:marker>
            <c:symbol val="none"/>
          </c:marker>
          <c:cat>
            <c:strRef>
              <c:f>'Demand Index'!$A$1:$A$4</c:f>
              <c:strCache>
                <c:ptCount val="0"/>
              </c:strCache>
            </c:strRef>
          </c:cat>
          <c:val>
            <c:numRef>
              <c:f>'Demand Index'!$E$1:$E$4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Series 5</c:v>
          </c:tx>
          <c:marker>
            <c:symbol val="none"/>
          </c:marker>
          <c:cat>
            <c:strRef>
              <c:f>'Demand Index'!$A$1:$A$4</c:f>
              <c:strCache>
                <c:ptCount val="0"/>
              </c:strCache>
            </c:strRef>
          </c:cat>
          <c:val>
            <c:numRef>
              <c:f>'Demand Index'!$F$1:$F$4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9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44c63dbdac4ea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8ee19bd202434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25027d2dfa6485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134b387bd4ff477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1" max="11" width="24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>
      <x:c r="A1" s="10" t="str">
        <x:v>Material</x:v>
      </x:c>
      <x:c r="B1" s="10" t="str">
        <x:v>Jan-26</x:v>
      </x:c>
      <x:c r="C1" s="10" t="str">
        <x:v>Feb-26</x:v>
      </x:c>
      <x:c r="D1" s="10" t="str">
        <x:v>Mar-26</x:v>
      </x:c>
      <x:c r="E1" s="10" t="str">
        <x:v>Apr-26</x:v>
      </x:c>
      <x:c r="F1" s="10" t="str">
        <x:v>May-26</x:v>
      </x:c>
      <x:c r="G1" s="10" t="str">
        <x:v>Jun-26</x:v>
      </x:c>
      <x:c r="H1" s="10" t="str">
        <x:v>Jul-26</x:v>
      </x:c>
      <x:c r="I1" s="10" t="str">
        <x:v>Aug-26</x:v>
      </x:c>
      <x:c r="J1" s="16"/>
      <x:c r="K1" s="10" t="str">
        <x:v>Material</x:v>
      </x:c>
      <x:c r="L1" s="10" t="str">
        <x:v>Aug Index</x:v>
      </x:c>
      <x:c r="M1" s="10" t="str">
        <x:v>Schedule Lead Time</x:v>
      </x:c>
      <x:c r="N1" s="10" t="str">
        <x:v>Supplier Count</x:v>
      </x:c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s="16" t="str">
        <x:v>Power transformers</x:v>
      </x:c>
      <x:c r="B2" s="16" t="n">
        <x:v>100</x:v>
      </x:c>
      <x:c r="C2" s="16" t="n">
        <x:v>103</x:v>
      </x:c>
      <x:c r="D2" s="16" t="n">
        <x:v>108</x:v>
      </x:c>
      <x:c r="E2" s="16" t="n">
        <x:v>112</x:v>
      </x:c>
      <x:c r="F2" s="16" t="n">
        <x:v>118</x:v>
      </x:c>
      <x:c r="G2" s="16" t="n">
        <x:v>121</x:v>
      </x:c>
      <x:c r="H2" s="16" t="n">
        <x:v>125</x:v>
      </x:c>
      <x:c r="I2" s="16" t="n">
        <x:v>128</x:v>
      </x:c>
      <x:c r="J2" s="16"/>
      <x:c r="K2" s="16" t="str">
        <x:v>Power transformers</x:v>
      </x:c>
      <x:c r="L2" s="16" t="n">
        <x:v>128</x:v>
      </x:c>
      <x:c r="M2" s="16" t="n">
        <x:v>62</x:v>
      </x:c>
      <x:c r="N2" s="16" t="n">
        <x:v>1</x:v>
      </x:c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</x:row>
    <x:row r="3">
      <x:c r="A3" s="16" t="str">
        <x:v>Steel structures</x:v>
      </x:c>
      <x:c r="B3" s="16" t="n">
        <x:v>100</x:v>
      </x:c>
      <x:c r="C3" s="16" t="n">
        <x:v>101</x:v>
      </x:c>
      <x:c r="D3" s="16" t="n">
        <x:v>104</x:v>
      </x:c>
      <x:c r="E3" s="16" t="n">
        <x:v>108</x:v>
      </x:c>
      <x:c r="F3" s="16" t="n">
        <x:v>111</x:v>
      </x:c>
      <x:c r="G3" s="16" t="n">
        <x:v>114</x:v>
      </x:c>
      <x:c r="H3" s="16" t="n">
        <x:v>116</x:v>
      </x:c>
      <x:c r="I3" s="16" t="n">
        <x:v>117</x:v>
      </x:c>
      <x:c r="J3" s="16"/>
      <x:c r="K3" s="16" t="str">
        <x:v>Steel structures</x:v>
      </x:c>
      <x:c r="L3" s="16" t="n">
        <x:v>117</x:v>
      </x:c>
      <x:c r="M3" s="16" t="n">
        <x:v>28</x:v>
      </x:c>
      <x:c r="N3" s="16" t="n">
        <x:v>3</x:v>
      </x:c>
      <x:c r="O3" s="16"/>
      <x:c r="P3" s="16"/>
      <x:c r="Q3" s="16"/>
      <x:c r="R3" s="16"/>
      <x:c r="S3" s="16"/>
      <x:c r="T3" s="16"/>
      <x:c r="U3" s="16"/>
      <x:c r="V3" s="16"/>
      <x:c r="W3" s="16"/>
      <x:c r="X3" s="16"/>
      <x:c r="Y3" s="16"/>
      <x:c r="Z3" s="16"/>
    </x:row>
    <x:row r="4">
      <x:c r="A4" s="16" t="str">
        <x:v>Copper cable</x:v>
      </x:c>
      <x:c r="B4" s="16" t="n">
        <x:v>100</x:v>
      </x:c>
      <x:c r="C4" s="16" t="n">
        <x:v>102</x:v>
      </x:c>
      <x:c r="D4" s="16" t="n">
        <x:v>106</x:v>
      </x:c>
      <x:c r="E4" s="16" t="n">
        <x:v>109</x:v>
      </x:c>
      <x:c r="F4" s="16" t="n">
        <x:v>113</x:v>
      </x:c>
      <x:c r="G4" s="16" t="n">
        <x:v>117</x:v>
      </x:c>
      <x:c r="H4" s="16" t="n">
        <x:v>120</x:v>
      </x:c>
      <x:c r="I4" s="16" t="n">
        <x:v>122</x:v>
      </x:c>
      <x:c r="J4" s="16"/>
      <x:c r="K4" s="16" t="str">
        <x:v>Copper cable</x:v>
      </x:c>
      <x:c r="L4" s="16" t="n">
        <x:v>122</x:v>
      </x:c>
      <x:c r="M4" s="16" t="n">
        <x:v>24</x:v>
      </x:c>
      <x:c r="N4" s="16" t="n">
        <x:v>2</x:v>
      </x:c>
      <x:c r="O4" s="16"/>
      <x:c r="P4" s="16"/>
      <x:c r="Q4" s="16"/>
      <x:c r="R4" s="16"/>
      <x:c r="S4" s="16"/>
      <x:c r="T4" s="16"/>
      <x:c r="U4" s="16"/>
      <x:c r="V4" s="16"/>
      <x:c r="W4" s="16"/>
      <x:c r="X4" s="16"/>
      <x:c r="Y4" s="16"/>
      <x:c r="Z4" s="16"/>
    </x:row>
    <x:row r="5">
      <x:c r="A5" s="16" t="str">
        <x:v>Battery containers</x:v>
      </x:c>
      <x:c r="B5" s="16" t="n">
        <x:v>100</x:v>
      </x:c>
      <x:c r="C5" s="16" t="n">
        <x:v>100</x:v>
      </x:c>
      <x:c r="D5" s="16" t="n">
        <x:v>101</x:v>
      </x:c>
      <x:c r="E5" s="16" t="n">
        <x:v>103</x:v>
      </x:c>
      <x:c r="F5" s="16" t="n">
        <x:v>105</x:v>
      </x:c>
      <x:c r="G5" s="16" t="n">
        <x:v>106</x:v>
      </x:c>
      <x:c r="H5" s="16" t="n">
        <x:v>108</x:v>
      </x:c>
      <x:c r="I5" s="16" t="n">
        <x:v>109</x:v>
      </x:c>
      <x:c r="J5" s="16"/>
      <x:c r="K5" s="16" t="str">
        <x:v>Battery containers</x:v>
      </x:c>
      <x:c r="L5" s="16" t="n">
        <x:v>109</x:v>
      </x:c>
      <x:c r="M5" s="16" t="n">
        <x:v>34</x:v>
      </x:c>
      <x:c r="N5" s="16" t="n">
        <x:v>2</x:v>
      </x:c>
      <x:c r="O5" s="16"/>
      <x:c r="P5" s="16"/>
      <x:c r="Q5" s="16"/>
      <x:c r="R5" s="16"/>
      <x:c r="S5" s="16"/>
      <x:c r="T5" s="16"/>
      <x:c r="U5" s="16"/>
      <x:c r="V5" s="16"/>
      <x:c r="W5" s="16"/>
      <x:c r="X5" s="16"/>
      <x:c r="Y5" s="16"/>
      <x:c r="Z5" s="16"/>
    </x:row>
    <x:row r="6">
      <x:c r="A6" s="16" t="str">
        <x:v>PV modules</x:v>
      </x:c>
      <x:c r="B6" s="16" t="n">
        <x:v>100</x:v>
      </x:c>
      <x:c r="C6" s="16" t="n">
        <x:v>99</x:v>
      </x:c>
      <x:c r="D6" s="16" t="n">
        <x:v>98</x:v>
      </x:c>
      <x:c r="E6" s="16" t="n">
        <x:v>97</x:v>
      </x:c>
      <x:c r="F6" s="16" t="n">
        <x:v>96</x:v>
      </x:c>
      <x:c r="G6" s="16" t="n">
        <x:v>95</x:v>
      </x:c>
      <x:c r="H6" s="16" t="n">
        <x:v>95</x:v>
      </x:c>
      <x:c r="I6" s="16" t="n">
        <x:v>94</x:v>
      </x:c>
      <x:c r="J6" s="16"/>
      <x:c r="K6" s="16" t="str">
        <x:v>PV modules</x:v>
      </x:c>
      <x:c r="L6" s="16" t="n">
        <x:v>94</x:v>
      </x:c>
      <x:c r="M6" s="16" t="n">
        <x:v>18</x:v>
      </x:c>
      <x:c r="N6" s="16" t="n">
        <x:v>4</x:v>
      </x:c>
      <x:c r="O6" s="16"/>
      <x:c r="P6" s="16"/>
      <x:c r="Q6" s="16"/>
      <x:c r="R6" s="16"/>
      <x:c r="S6" s="16"/>
      <x:c r="T6" s="16"/>
      <x:c r="U6" s="16"/>
      <x:c r="V6" s="16"/>
      <x:c r="W6" s="16"/>
      <x:c r="X6" s="16"/>
      <x:c r="Y6" s="16"/>
      <x:c r="Z6" s="16"/>
    </x:row>
    <x:row r="7">
      <x:c r="A7" s="16" t="str">
        <x:v>Synthetic benchmark - Jan 2026 = 100</x:v>
      </x:c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s="16"/>
      <x:c r="Y7" s="16"/>
      <x:c r="Z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6"/>
      <x:c r="W8" s="16"/>
      <x:c r="X8" s="16"/>
      <x:c r="Y8" s="16"/>
      <x:c r="Z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6"/>
      <x:c r="W9" s="16"/>
      <x:c r="X9" s="16"/>
      <x:c r="Y9" s="16"/>
      <x:c r="Z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6"/>
      <x:c r="W10" s="16"/>
      <x:c r="X10" s="16"/>
      <x:c r="Y10" s="16"/>
      <x:c r="Z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6"/>
      <x:c r="W11" s="16"/>
      <x:c r="X11" s="16"/>
      <x:c r="Y11" s="16"/>
      <x:c r="Z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  <x:c r="W12" s="16"/>
      <x:c r="X12" s="16"/>
      <x:c r="Y12" s="16"/>
      <x:c r="Z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6"/>
      <x:c r="W13" s="16"/>
      <x:c r="X13" s="16"/>
      <x:c r="Y13" s="16"/>
      <x:c r="Z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  <x:c r="U14" s="16"/>
      <x:c r="V14" s="16"/>
      <x:c r="W14" s="16"/>
      <x:c r="X14" s="16"/>
      <x:c r="Y14" s="16"/>
      <x:c r="Z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16"/>
      <x:c r="V15" s="16"/>
      <x:c r="W15" s="16"/>
      <x:c r="X15" s="16"/>
      <x:c r="Y15" s="16"/>
      <x:c r="Z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  <x:c r="U16" s="16"/>
      <x:c r="V16" s="16"/>
      <x:c r="W16" s="16"/>
      <x:c r="X16" s="16"/>
      <x:c r="Y16" s="16"/>
      <x:c r="Z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  <x:c r="Z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6"/>
      <x:c r="W18" s="16"/>
      <x:c r="X18" s="16"/>
      <x:c r="Y18" s="16"/>
      <x:c r="Z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6"/>
      <x:c r="W19" s="16"/>
      <x:c r="X19" s="16"/>
      <x:c r="Y19" s="16"/>
      <x:c r="Z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  <x:c r="U20" s="16"/>
      <x:c r="V20" s="16"/>
      <x:c r="W20" s="16"/>
      <x:c r="X20" s="16"/>
      <x:c r="Y20" s="16"/>
      <x:c r="Z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6"/>
      <x:c r="W21" s="16"/>
      <x:c r="X21" s="16"/>
      <x:c r="Y21" s="16"/>
      <x:c r="Z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6"/>
      <x:c r="X22" s="16"/>
      <x:c r="Y22" s="16"/>
      <x:c r="Z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  <x:c r="V23" s="16"/>
      <x:c r="W23" s="16"/>
      <x:c r="X23" s="16"/>
      <x:c r="Y23" s="16"/>
      <x:c r="Z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  <x:c r="U24" s="16"/>
      <x:c r="V24" s="16"/>
      <x:c r="W24" s="16"/>
      <x:c r="X24" s="16"/>
      <x:c r="Y24" s="16"/>
      <x:c r="Z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6"/>
      <x:c r="W25" s="16"/>
      <x:c r="X25" s="16"/>
      <x:c r="Y25" s="16"/>
      <x:c r="Z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16"/>
      <x:c r="V26" s="16"/>
      <x:c r="W26" s="16"/>
      <x:c r="X26" s="16"/>
      <x:c r="Y26" s="16"/>
      <x:c r="Z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6"/>
      <x:c r="W27" s="16"/>
      <x:c r="X27" s="16"/>
      <x:c r="Y27" s="16"/>
      <x:c r="Z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6"/>
      <x:c r="W28" s="16"/>
      <x:c r="X28" s="16"/>
      <x:c r="Y28" s="16"/>
      <x:c r="Z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6"/>
      <x:c r="W29" s="16"/>
      <x:c r="X29" s="16"/>
      <x:c r="Y29" s="16"/>
      <x:c r="Z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16"/>
      <x:c r="V30" s="16"/>
      <x:c r="W30" s="16"/>
      <x:c r="X30" s="16"/>
      <x:c r="Y30" s="16"/>
      <x:c r="Z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6"/>
      <x:c r="W31" s="16"/>
      <x:c r="X31" s="16"/>
      <x:c r="Y31" s="16"/>
      <x:c r="Z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6"/>
      <x:c r="W32" s="16"/>
      <x:c r="X32" s="16"/>
      <x:c r="Y32" s="16"/>
      <x:c r="Z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6"/>
      <x:c r="W33" s="16"/>
      <x:c r="X33" s="16"/>
      <x:c r="Y33" s="16"/>
      <x:c r="Z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16"/>
      <x:c r="V34" s="16"/>
      <x:c r="W34" s="16"/>
      <x:c r="X34" s="16"/>
      <x:c r="Y34" s="16"/>
      <x:c r="Z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6"/>
      <x:c r="W35" s="16"/>
      <x:c r="X35" s="16"/>
      <x:c r="Y35" s="16"/>
      <x:c r="Z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16"/>
      <x:c r="V36" s="16"/>
      <x:c r="W36" s="16"/>
      <x:c r="X36" s="16"/>
      <x:c r="Y36" s="16"/>
      <x:c r="Z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6"/>
      <x:c r="W37" s="16"/>
      <x:c r="X37" s="16"/>
      <x:c r="Y37" s="16"/>
      <x:c r="Z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6"/>
      <x:c r="W38" s="16"/>
      <x:c r="X38" s="16"/>
      <x:c r="Y38" s="16"/>
      <x:c r="Z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6"/>
      <x:c r="W39" s="16"/>
      <x:c r="X39" s="16"/>
      <x:c r="Y39" s="16"/>
      <x:c r="Z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  <x:c r="W40" s="16"/>
      <x:c r="X40" s="16"/>
      <x:c r="Y40" s="16"/>
      <x:c r="Z40" s="16"/>
    </x:row>
  </x:sheetData>
  <x:pageMargins left="0.7" right="0.7" top="0.75" bottom="0.75" header="0.3" footer="0.3"/>
  <x:drawing xmlns:r="http://schemas.openxmlformats.org/officeDocument/2006/relationships" r:id="R325027d2dfa64850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10" t="str">
        <x:v>Metric</x:v>
      </x:c>
      <x:c r="B1" s="10" t="str">
        <x:v>2028</x:v>
      </x:c>
      <x:c r="C1" s="10" t="str">
        <x:v>2029</x:v>
      </x:c>
      <x:c r="D1" s="10" t="str">
        <x:v>2030</x:v>
      </x:c>
      <x:c r="E1" s="10" t="str">
        <x:v>2031</x:v>
      </x:c>
      <x:c r="F1" s="10" t="str">
        <x:v>2032</x:v>
      </x:c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s="16" t="str">
        <x:v>Base forward price</x:v>
      </x:c>
      <x:c r="B2" s="16" t="n">
        <x:v>47.5</x:v>
      </x:c>
      <x:c r="C2" s="16" t="n">
        <x:v>49</x:v>
      </x:c>
      <x:c r="D2" s="16" t="n">
        <x:v>50.4</x:v>
      </x:c>
      <x:c r="E2" s="16" t="n">
        <x:v>51.7</x:v>
      </x:c>
      <x:c r="F2" s="16" t="n">
        <x:v>52.9</x:v>
      </x:c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</x:row>
    <x:row r="3">
      <x:c r="A3" s="16" t="str">
        <x:v>Downside forward price</x:v>
      </x:c>
      <x:c r="B3" s="16" t="n">
        <x:v>35</x:v>
      </x:c>
      <x:c r="C3" s="16" t="n">
        <x:v>36.5</x:v>
      </x:c>
      <x:c r="D3" s="16" t="n">
        <x:v>37.2</x:v>
      </x:c>
      <x:c r="E3" s="16" t="n">
        <x:v>38</x:v>
      </x:c>
      <x:c r="F3" s="16" t="n">
        <x:v>39.1</x:v>
      </x:c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16"/>
      <x:c r="Y3" s="16"/>
      <x:c r="Z3" s="16"/>
    </x:row>
    <x:row r="4">
      <x:c r="A4" s="16" t="str">
        <x:v>Upside forward price</x:v>
      </x:c>
      <x:c r="B4" s="16" t="n">
        <x:v>58</x:v>
      </x:c>
      <x:c r="C4" s="16" t="n">
        <x:v>60</x:v>
      </x:c>
      <x:c r="D4" s="16" t="n">
        <x:v>61.5</x:v>
      </x:c>
      <x:c r="E4" s="16" t="n">
        <x:v>63</x:v>
      </x:c>
      <x:c r="F4" s="16" t="n">
        <x:v>64.5</x:v>
      </x:c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  <x:c r="X4" s="16"/>
      <x:c r="Y4" s="16"/>
      <x:c r="Z4" s="16"/>
    </x:row>
    <x:row r="5">
      <x:c r="A5" s="16" t="str">
        <x:v>Firm contracted MW</x:v>
      </x:c>
      <x:c r="B5" s="16" t="n">
        <x:v>150</x:v>
      </x:c>
      <x:c r="C5" s="16" t="n">
        <x:v>150</x:v>
      </x:c>
      <x:c r="D5" s="16" t="n">
        <x:v>150</x:v>
      </x:c>
      <x:c r="E5" s="16" t="n">
        <x:v>150</x:v>
      </x:c>
      <x:c r="F5" s="16" t="n">
        <x:v>150</x:v>
      </x:c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6"/>
      <x:c r="W5" s="16"/>
      <x:c r="X5" s="16"/>
      <x:c r="Y5" s="16"/>
      <x:c r="Z5" s="16"/>
    </x:row>
    <x:row r="6">
      <x:c r="A6" s="16" t="str">
        <x:v>Non-binding LOI MW</x:v>
      </x:c>
      <x:c r="B6" s="16" t="n">
        <x:v>50</x:v>
      </x:c>
      <x:c r="C6" s="16" t="n">
        <x:v>50</x:v>
      </x:c>
      <x:c r="D6" s="16" t="n">
        <x:v>50</x:v>
      </x:c>
      <x:c r="E6" s="16" t="n">
        <x:v>50</x:v>
      </x:c>
      <x:c r="F6" s="16" t="n">
        <x:v>50</x:v>
      </x:c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6"/>
      <x:c r="W6" s="16"/>
      <x:c r="X6" s="16"/>
      <x:c r="Y6" s="16"/>
      <x:c r="Z6" s="16"/>
    </x:row>
    <x:row r="7">
      <x:c r="A7" s="16" t="str">
        <x:v>Merchant MW</x:v>
      </x:c>
      <x:c r="B7" s="16" t="n">
        <x:v>50</x:v>
      </x:c>
      <x:c r="C7" s="16" t="n">
        <x:v>50</x:v>
      </x:c>
      <x:c r="D7" s="16" t="n">
        <x:v>50</x:v>
      </x:c>
      <x:c r="E7" s="16" t="n">
        <x:v>50</x:v>
      </x:c>
      <x:c r="F7" s="16" t="n">
        <x:v>50</x:v>
      </x:c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s="16"/>
      <x:c r="Y7" s="16"/>
      <x:c r="Z7" s="16"/>
    </x:row>
    <x:row r="8">
      <x:c r="A8" s="16" t="str">
        <x:v>Total plant MW</x:v>
      </x:c>
      <x:c r="B8" s="16" t="n">
        <x:v>250</x:v>
      </x:c>
      <x:c r="C8" s="16" t="n">
        <x:v>250</x:v>
      </x:c>
      <x:c r="D8" s="16" t="n">
        <x:v>250</x:v>
      </x:c>
      <x:c r="E8" s="16" t="n">
        <x:v>250</x:v>
      </x:c>
      <x:c r="F8" s="16" t="n">
        <x:v>250</x:v>
      </x:c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6"/>
      <x:c r="W8" s="16"/>
      <x:c r="X8" s="16"/>
      <x:c r="Y8" s="16"/>
      <x:c r="Z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6"/>
      <x:c r="W9" s="16"/>
      <x:c r="X9" s="16"/>
      <x:c r="Y9" s="16"/>
      <x:c r="Z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6"/>
      <x:c r="W10" s="16"/>
      <x:c r="X10" s="16"/>
      <x:c r="Y10" s="16"/>
      <x:c r="Z10" s="16"/>
    </x:row>
    <x:row r="11">
      <x:c r="A11" s="10" t="str">
        <x:v>Customer / Segment</x:v>
      </x:c>
      <x:c r="B11" s="10" t="str">
        <x:v>MW</x:v>
      </x:c>
      <x:c r="C11" s="10" t="str">
        <x:v>Binding?</x:v>
      </x:c>
      <x:c r="D11" s="10" t="str">
        <x:v>Concentration</x:v>
      </x:c>
      <x:c r="E11" s="10" t="str">
        <x:v>Key condition</x:v>
      </x:c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6"/>
      <x:c r="W11" s="16"/>
      <x:c r="X11" s="16"/>
      <x:c r="Y11" s="16"/>
      <x:c r="Z11" s="16"/>
    </x:row>
    <x:row r="12">
      <x:c r="A12" s="16" t="str">
        <x:v>Utility A</x:v>
      </x:c>
      <x:c r="B12" s="16" t="n">
        <x:v>150</x:v>
      </x:c>
      <x:c r="C12" s="16" t="str">
        <x:v>Term sheet</x:v>
      </x:c>
      <x:c r="D12" s="18" t="n">
        <x:v>0.6</x:v>
      </x:c>
      <x:c r="E12" s="16" t="str">
        <x:v>Final contract after interconnection milestone</x:v>
      </x:c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  <x:c r="W12" s="16"/>
      <x:c r="X12" s="16"/>
      <x:c r="Y12" s="16"/>
      <x:c r="Z12" s="16"/>
    </x:row>
    <x:row r="13">
      <x:c r="A13" s="16" t="str">
        <x:v>Data Center Consortium</x:v>
      </x:c>
      <x:c r="B13" s="16" t="n">
        <x:v>50</x:v>
      </x:c>
      <x:c r="C13" s="16" t="str">
        <x:v>No</x:v>
      </x:c>
      <x:c r="D13" s="18" t="n">
        <x:v>0.2</x:v>
      </x:c>
      <x:c r="E13" s="16" t="str">
        <x:v>Termination right pre-interconnection</x:v>
      </x:c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6"/>
      <x:c r="W13" s="16"/>
      <x:c r="X13" s="16"/>
      <x:c r="Y13" s="16"/>
      <x:c r="Z13" s="16"/>
    </x:row>
    <x:row r="14">
      <x:c r="A14" s="16" t="str">
        <x:v>Merchant</x:v>
      </x:c>
      <x:c r="B14" s="16" t="n">
        <x:v>50</x:v>
      </x:c>
      <x:c r="C14" s="16" t="str">
        <x:v>N/A</x:v>
      </x:c>
      <x:c r="D14" s="18" t="n">
        <x:v>0.2</x:v>
      </x:c>
      <x:c r="E14" s="16" t="str">
        <x:v>Spot / forward exposure</x:v>
      </x:c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  <x:c r="U14" s="16"/>
      <x:c r="V14" s="16"/>
      <x:c r="W14" s="16"/>
      <x:c r="X14" s="16"/>
      <x:c r="Y14" s="16"/>
      <x:c r="Z14" s="16"/>
    </x:row>
    <x:row r="15">
      <x:c r="A15" s="16" t="str">
        <x:v>TOTAL</x:v>
      </x:c>
      <x:c r="B15" s="16" t="n">
        <x:v>250</x:v>
      </x:c>
      <x:c r="C15" s="16" t="str"/>
      <x:c r="D15" s="18" t="n">
        <x:v>1</x:v>
      </x:c>
      <x:c r="E15" s="16" t="str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16"/>
      <x:c r="V15" s="16"/>
      <x:c r="W15" s="16"/>
      <x:c r="X15" s="16"/>
      <x:c r="Y15" s="16"/>
      <x:c r="Z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  <x:c r="U16" s="16"/>
      <x:c r="V16" s="16"/>
      <x:c r="W16" s="16"/>
      <x:c r="X16" s="16"/>
      <x:c r="Y16" s="16"/>
      <x:c r="Z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  <x:c r="Z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6"/>
      <x:c r="W18" s="16"/>
      <x:c r="X18" s="16"/>
      <x:c r="Y18" s="16"/>
      <x:c r="Z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6"/>
      <x:c r="W19" s="16"/>
      <x:c r="X19" s="16"/>
      <x:c r="Y19" s="16"/>
      <x:c r="Z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  <x:c r="U20" s="16"/>
      <x:c r="V20" s="16"/>
      <x:c r="W20" s="16"/>
      <x:c r="X20" s="16"/>
      <x:c r="Y20" s="16"/>
      <x:c r="Z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6"/>
      <x:c r="W21" s="16"/>
      <x:c r="X21" s="16"/>
      <x:c r="Y21" s="16"/>
      <x:c r="Z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6"/>
      <x:c r="X22" s="16"/>
      <x:c r="Y22" s="16"/>
      <x:c r="Z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  <x:c r="V23" s="16"/>
      <x:c r="W23" s="16"/>
      <x:c r="X23" s="16"/>
      <x:c r="Y23" s="16"/>
      <x:c r="Z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  <x:c r="U24" s="16"/>
      <x:c r="V24" s="16"/>
      <x:c r="W24" s="16"/>
      <x:c r="X24" s="16"/>
      <x:c r="Y24" s="16"/>
      <x:c r="Z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6"/>
      <x:c r="W25" s="16"/>
      <x:c r="X25" s="16"/>
      <x:c r="Y25" s="16"/>
      <x:c r="Z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16"/>
      <x:c r="V26" s="16"/>
      <x:c r="W26" s="16"/>
      <x:c r="X26" s="16"/>
      <x:c r="Y26" s="16"/>
      <x:c r="Z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6"/>
      <x:c r="W27" s="16"/>
      <x:c r="X27" s="16"/>
      <x:c r="Y27" s="16"/>
      <x:c r="Z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6"/>
      <x:c r="W28" s="16"/>
      <x:c r="X28" s="16"/>
      <x:c r="Y28" s="16"/>
      <x:c r="Z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6"/>
      <x:c r="W29" s="16"/>
      <x:c r="X29" s="16"/>
      <x:c r="Y29" s="16"/>
      <x:c r="Z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16"/>
      <x:c r="V30" s="16"/>
      <x:c r="W30" s="16"/>
      <x:c r="X30" s="16"/>
      <x:c r="Y30" s="16"/>
      <x:c r="Z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6"/>
      <x:c r="W31" s="16"/>
      <x:c r="X31" s="16"/>
      <x:c r="Y31" s="16"/>
      <x:c r="Z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6"/>
      <x:c r="W32" s="16"/>
      <x:c r="X32" s="16"/>
      <x:c r="Y32" s="16"/>
      <x:c r="Z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6"/>
      <x:c r="W33" s="16"/>
      <x:c r="X33" s="16"/>
      <x:c r="Y33" s="16"/>
      <x:c r="Z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16"/>
      <x:c r="V34" s="16"/>
      <x:c r="W34" s="16"/>
      <x:c r="X34" s="16"/>
      <x:c r="Y34" s="16"/>
      <x:c r="Z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6"/>
      <x:c r="W35" s="16"/>
      <x:c r="X35" s="16"/>
      <x:c r="Y35" s="16"/>
      <x:c r="Z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16"/>
      <x:c r="V36" s="16"/>
      <x:c r="W36" s="16"/>
      <x:c r="X36" s="16"/>
      <x:c r="Y36" s="16"/>
      <x:c r="Z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6"/>
      <x:c r="W37" s="16"/>
      <x:c r="X37" s="16"/>
      <x:c r="Y37" s="16"/>
      <x:c r="Z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6"/>
      <x:c r="W38" s="16"/>
      <x:c r="X38" s="16"/>
      <x:c r="Y38" s="16"/>
      <x:c r="Z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6"/>
      <x:c r="W39" s="16"/>
      <x:c r="X39" s="16"/>
      <x:c r="Y39" s="16"/>
      <x:c r="Z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  <x:c r="W40" s="16"/>
      <x:c r="X40" s="16"/>
      <x:c r="Y40" s="16"/>
      <x:c r="Z40" s="16"/>
    </x:row>
  </x:sheetData>
  <x:pageMargins left="0.7" right="0.7" top="0.75" bottom="0.75" header="0.3" footer="0.3"/>
  <x:drawing xmlns:r="http://schemas.openxmlformats.org/officeDocument/2006/relationships" r:id="R134b387bd4ff477b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10" t="str">
        <x:v>Dependency</x:v>
      </x:c>
      <x:c r="B1" s="10" t="str">
        <x:v>Required By</x:v>
      </x:c>
      <x:c r="C1" s="10" t="str">
        <x:v>Current Evidence Date</x:v>
      </x:c>
      <x:c r="D1" s="10" t="str">
        <x:v>Gap (weeks)</x:v>
      </x:c>
      <x:c r="E1" s="10" t="str">
        <x:v>Risk Factor</x:v>
      </x:c>
      <x:c r="F1" s="10" t="str">
        <x:v>Status</x:v>
      </x:c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s="16" t="str">
        <x:v>Parcel 14 site control</x:v>
      </x:c>
      <x:c r="B2" s="16" t="str">
        <x:v>2026-09-15</x:v>
      </x:c>
      <x:c r="C2" s="16" t="str">
        <x:v>2026-08-14</x:v>
      </x:c>
      <x:c r="D2" s="20" t="n">
        <x:f>(DATEVALUE(C2)-DATEVALUE(B2))/7</x:f>
        <x:v>-4.571428571428571</x:v>
      </x:c>
      <x:c r="E2" s="16" t="str">
        <x:v>Land</x:v>
      </x:c>
      <x:c r="F2" s="16" t="str">
        <x:v>Open</x:v>
      </x:c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</x:row>
    <x:row r="3">
      <x:c r="A3" s="16" t="str">
        <x:v>Environmental review</x:v>
      </x:c>
      <x:c r="B3" s="16" t="str">
        <x:v>2026-10-14</x:v>
      </x:c>
      <x:c r="C3" s="16" t="str">
        <x:v>2026-12-08</x:v>
      </x:c>
      <x:c r="D3" s="20" t="n">
        <x:f>(DATEVALUE(C3)-DATEVALUE(B3))/7</x:f>
        <x:v>7.857142857142857</x:v>
      </x:c>
      <x:c r="E3" s="16" t="str">
        <x:v>Law</x:v>
      </x:c>
      <x:c r="F3" s="16" t="str">
        <x:v>Conflict</x:v>
      </x:c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16"/>
      <x:c r="Y3" s="16"/>
      <x:c r="Z3" s="16"/>
    </x:row>
    <x:row r="4">
      <x:c r="A4" s="16" t="str">
        <x:v>Construction water agreement</x:v>
      </x:c>
      <x:c r="B4" s="16" t="str">
        <x:v>2026-10-01</x:v>
      </x:c>
      <x:c r="C4" s="16" t="str">
        <x:v>2026-11-15</x:v>
      </x:c>
      <x:c r="D4" s="20" t="n">
        <x:f>(DATEVALUE(C4)-DATEVALUE(B4))/7</x:f>
        <x:v>6.428571428571429</x:v>
      </x:c>
      <x:c r="E4" s="16" t="str">
        <x:v>Law</x:v>
      </x:c>
      <x:c r="F4" s="16" t="str">
        <x:v>Conflict</x:v>
      </x:c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  <x:c r="X4" s="16"/>
      <x:c r="Y4" s="16"/>
      <x:c r="Z4" s="16"/>
    </x:row>
    <x:row r="5">
      <x:c r="A5" s="16" t="str">
        <x:v>Transformer delivery</x:v>
      </x:c>
      <x:c r="B5" s="16" t="str">
        <x:v>2027-12-01</x:v>
      </x:c>
      <x:c r="C5" s="16" t="str">
        <x:v>2028-05-17</x:v>
      </x:c>
      <x:c r="D5" s="20" t="n">
        <x:f>(DATEVALUE(C5)-DATEVALUE(B5))/7</x:f>
        <x:v>24</x:v>
      </x:c>
      <x:c r="E5" s="16" t="str">
        <x:v>Materials</x:v>
      </x:c>
      <x:c r="F5" s="16" t="str">
        <x:v>Conflict</x:v>
      </x:c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6"/>
      <x:c r="W5" s="16"/>
      <x:c r="X5" s="16"/>
      <x:c r="Y5" s="16"/>
      <x:c r="Z5" s="16"/>
    </x:row>
    <x:row r="6">
      <x:c r="A6" s="16" t="str">
        <x:v>Utility A final offtake</x:v>
      </x:c>
      <x:c r="B6" s="16" t="str">
        <x:v>2026-10-15</x:v>
      </x:c>
      <x:c r="C6" s="16" t="str">
        <x:v>2026-11-30</x:v>
      </x:c>
      <x:c r="D6" s="20" t="n">
        <x:f>(DATEVALUE(C6)-DATEVALUE(B6))/7</x:f>
        <x:v>6.571428571428571</x:v>
      </x:c>
      <x:c r="E6" s="16" t="str">
        <x:v>Demand</x:v>
      </x:c>
      <x:c r="F6" s="16" t="str">
        <x:v>Conflict</x:v>
      </x:c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6"/>
      <x:c r="W6" s="16"/>
      <x:c r="X6" s="16"/>
      <x:c r="Y6" s="16"/>
      <x:c r="Z6" s="16"/>
    </x:row>
    <x:row r="7">
      <x:c r="A7" s="16" t="str">
        <x:v>Financing close</x:v>
      </x:c>
      <x:c r="B7" s="16" t="str">
        <x:v>2026-10-15</x:v>
      </x:c>
      <x:c r="C7" s="16" t="str">
        <x:v>2026-10-15</x:v>
      </x:c>
      <x:c r="D7" s="20" t="n">
        <x:f>(DATEVALUE(C7)-DATEVALUE(B7))/7</x:f>
        <x:v>0</x:v>
      </x:c>
      <x:c r="E7" s="16" t="str">
        <x:v>Finance</x:v>
      </x:c>
      <x:c r="F7" s="16" t="str">
        <x:v>Target</x:v>
      </x:c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s="16"/>
      <x:c r="Y7" s="16"/>
      <x:c r="Z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6"/>
      <x:c r="W8" s="16"/>
      <x:c r="X8" s="16"/>
      <x:c r="Y8" s="16"/>
      <x:c r="Z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6"/>
      <x:c r="W9" s="16"/>
      <x:c r="X9" s="16"/>
      <x:c r="Y9" s="16"/>
      <x:c r="Z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6"/>
      <x:c r="W10" s="16"/>
      <x:c r="X10" s="16"/>
      <x:c r="Y10" s="16"/>
      <x:c r="Z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6"/>
      <x:c r="W11" s="16"/>
      <x:c r="X11" s="16"/>
      <x:c r="Y11" s="16"/>
      <x:c r="Z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  <x:c r="W12" s="16"/>
      <x:c r="X12" s="16"/>
      <x:c r="Y12" s="16"/>
      <x:c r="Z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6"/>
      <x:c r="W13" s="16"/>
      <x:c r="X13" s="16"/>
      <x:c r="Y13" s="16"/>
      <x:c r="Z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  <x:c r="U14" s="16"/>
      <x:c r="V14" s="16"/>
      <x:c r="W14" s="16"/>
      <x:c r="X14" s="16"/>
      <x:c r="Y14" s="16"/>
      <x:c r="Z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16"/>
      <x:c r="V15" s="16"/>
      <x:c r="W15" s="16"/>
      <x:c r="X15" s="16"/>
      <x:c r="Y15" s="16"/>
      <x:c r="Z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  <x:c r="U16" s="16"/>
      <x:c r="V16" s="16"/>
      <x:c r="W16" s="16"/>
      <x:c r="X16" s="16"/>
      <x:c r="Y16" s="16"/>
      <x:c r="Z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  <x:c r="Z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6"/>
      <x:c r="W18" s="16"/>
      <x:c r="X18" s="16"/>
      <x:c r="Y18" s="16"/>
      <x:c r="Z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6"/>
      <x:c r="W19" s="16"/>
      <x:c r="X19" s="16"/>
      <x:c r="Y19" s="16"/>
      <x:c r="Z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  <x:c r="U20" s="16"/>
      <x:c r="V20" s="16"/>
      <x:c r="W20" s="16"/>
      <x:c r="X20" s="16"/>
      <x:c r="Y20" s="16"/>
      <x:c r="Z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6"/>
      <x:c r="W21" s="16"/>
      <x:c r="X21" s="16"/>
      <x:c r="Y21" s="16"/>
      <x:c r="Z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6"/>
      <x:c r="X22" s="16"/>
      <x:c r="Y22" s="16"/>
      <x:c r="Z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  <x:c r="V23" s="16"/>
      <x:c r="W23" s="16"/>
      <x:c r="X23" s="16"/>
      <x:c r="Y23" s="16"/>
      <x:c r="Z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  <x:c r="U24" s="16"/>
      <x:c r="V24" s="16"/>
      <x:c r="W24" s="16"/>
      <x:c r="X24" s="16"/>
      <x:c r="Y24" s="16"/>
      <x:c r="Z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6"/>
      <x:c r="W25" s="16"/>
      <x:c r="X25" s="16"/>
      <x:c r="Y25" s="16"/>
      <x:c r="Z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16"/>
      <x:c r="V26" s="16"/>
      <x:c r="W26" s="16"/>
      <x:c r="X26" s="16"/>
      <x:c r="Y26" s="16"/>
      <x:c r="Z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6"/>
      <x:c r="W27" s="16"/>
      <x:c r="X27" s="16"/>
      <x:c r="Y27" s="16"/>
      <x:c r="Z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6"/>
      <x:c r="W28" s="16"/>
      <x:c r="X28" s="16"/>
      <x:c r="Y28" s="16"/>
      <x:c r="Z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6"/>
      <x:c r="W29" s="16"/>
      <x:c r="X29" s="16"/>
      <x:c r="Y29" s="16"/>
      <x:c r="Z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16"/>
      <x:c r="V30" s="16"/>
      <x:c r="W30" s="16"/>
      <x:c r="X30" s="16"/>
      <x:c r="Y30" s="16"/>
      <x:c r="Z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6"/>
      <x:c r="W31" s="16"/>
      <x:c r="X31" s="16"/>
      <x:c r="Y31" s="16"/>
      <x:c r="Z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6"/>
      <x:c r="W32" s="16"/>
      <x:c r="X32" s="16"/>
      <x:c r="Y32" s="16"/>
      <x:c r="Z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6"/>
      <x:c r="W33" s="16"/>
      <x:c r="X33" s="16"/>
      <x:c r="Y33" s="16"/>
      <x:c r="Z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16"/>
      <x:c r="V34" s="16"/>
      <x:c r="W34" s="16"/>
      <x:c r="X34" s="16"/>
      <x:c r="Y34" s="16"/>
      <x:c r="Z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6"/>
      <x:c r="W35" s="16"/>
      <x:c r="X35" s="16"/>
      <x:c r="Y35" s="16"/>
      <x:c r="Z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16"/>
      <x:c r="V36" s="16"/>
      <x:c r="W36" s="16"/>
      <x:c r="X36" s="16"/>
      <x:c r="Y36" s="16"/>
      <x:c r="Z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6"/>
      <x:c r="W37" s="16"/>
      <x:c r="X37" s="16"/>
      <x:c r="Y37" s="16"/>
      <x:c r="Z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6"/>
      <x:c r="W38" s="16"/>
      <x:c r="X38" s="16"/>
      <x:c r="Y38" s="16"/>
      <x:c r="Z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6"/>
      <x:c r="W39" s="16"/>
      <x:c r="X39" s="16"/>
      <x:c r="Y39" s="16"/>
      <x:c r="Z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  <x:c r="W40" s="16"/>
      <x:c r="X40" s="16"/>
      <x:c r="Y40" s="16"/>
      <x:c r="Z40" s="16"/>
    </x:row>
  </x:sheetData>
  <x:dataValidations count="1">
    <x:dataValidation type="list" sqref="F2:F7">
      <x:formula1>"Open,Conflict,Target,Closed"</x:formula1>
    </x:dataValidation>
  </x:dataValidations>
  <x:pageMargins left="0.7" right="0.7" top="0.75" bottom="0.75" header="0.3" footer="0.3"/>
</x:worksheet>
</file>