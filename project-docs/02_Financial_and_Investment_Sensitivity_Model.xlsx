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5c13d03d1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3ae1da42ff24fd3"/>
    <x:sheet xmlns:r="http://schemas.openxmlformats.org/officeDocument/2006/relationships" name="Sensitivity" sheetId="2" r:id="R01340291dddd4aa0"/>
    <x:sheet xmlns:r="http://schemas.openxmlformats.org/officeDocument/2006/relationships" name="Summary Cash Flow" sheetId="3" r:id="Rdfb2197cf804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$#,##0"/>
    <x:numFmt numFmtId="202" formatCode="0.0%"/>
    <x:numFmt numFmtId="203" formatCode="0.00x"/>
    <x:numFmt numFmtId="204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601a1196c4e9f" /><Relationship Type="http://schemas.openxmlformats.org/officeDocument/2006/relationships/theme" Target="/xl/theme/theme1.xml" Id="R0e212c60db634507" /><Relationship Type="http://schemas.openxmlformats.org/officeDocument/2006/relationships/sharedStrings" Target="/xl/sharedStrings.xml" Id="R70218ca9e9d4419b" /><Relationship Type="http://schemas.openxmlformats.org/officeDocument/2006/relationships/worksheet" Target="/xl/worksheets/sheet1.xml" Id="R83ae1da42ff24fd3" /><Relationship Type="http://schemas.openxmlformats.org/officeDocument/2006/relationships/worksheet" Target="/xl/worksheets/sheet2.xml" Id="R01340291dddd4aa0" /><Relationship Type="http://schemas.openxmlformats.org/officeDocument/2006/relationships/worksheet" Target="/xl/worksheets/sheet3.xml" Id="Rdfb2197cf80447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a698a651744f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CAPEX ($M)</c:v>
          </c:tx>
          <c:cat>
            <c:strRef>
              <c:f>'Sensitivity'!$A$4:$A$8</c:f>
              <c:strCache>
                <c:ptCount val="0"/>
              </c:strCache>
            </c:strRef>
          </c:cat>
          <c:val>
            <c:numRef>
              <c:f>'Sensitivity'!$B$4:$B$8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Firm MW</c:v>
          </c:tx>
          <c:cat>
            <c:strRef>
              <c:f>'Sensitivity'!$A$4:$A$8</c:f>
              <c:strCache>
                <c:ptCount val="0"/>
              </c:strCache>
            </c:strRef>
          </c:cat>
          <c:val>
            <c:numRef>
              <c:f>'Sensitivity'!$C$4:$C$8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Revenue Proxy ($M)</c:v>
          </c:tx>
          <c:cat>
            <c:strRef>
              <c:f>'Sensitivity'!$A$4:$A$8</c:f>
              <c:strCache>
                <c:ptCount val="0"/>
              </c:strCache>
            </c:strRef>
          </c:cat>
          <c:val>
            <c:numRef>
              <c:f>'Sensitivity'!$D$4:$D$8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EBITDA Proxy ($M)</c:v>
          </c:tx>
          <c:cat>
            <c:strRef>
              <c:f>'Sensitivity'!$A$4:$A$8</c:f>
              <c:strCache>
                <c:ptCount val="0"/>
              </c:strCache>
            </c:strRef>
          </c:cat>
          <c:val>
            <c:numRef>
              <c:f>'Sensitivity'!$E$4:$E$8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Equity IRR Proxy</c:v>
          </c:tx>
          <c:cat>
            <c:strRef>
              <c:f>'Sensitivity'!$A$4:$A$8</c:f>
              <c:strCache>
                <c:ptCount val="0"/>
              </c:strCache>
            </c:strRef>
          </c:cat>
          <c:val>
            <c:numRef>
              <c:f>'Sensitivity'!$F$4:$F$8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DSCR Proxy</c:v>
          </c:tx>
          <c:cat>
            <c:strRef>
              <c:f>'Sensitivity'!$A$4:$A$8</c:f>
              <c:strCache>
                <c:ptCount val="0"/>
              </c:strCache>
            </c:strRef>
          </c:cat>
          <c:val>
            <c:numRef>
              <c:f>'Sensitivity'!$G$4:$G$8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a698a651744f7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88a8f323c0465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8" hidden="0" customWidth="1"/>
  </x:cols>
  <x:sheetData>
    <x:row r="1">
      <x:c r="A1" s="10" t="str">
        <x:v>Input</x:v>
      </x:c>
      <x:c r="B1" s="10" t="str">
        <x:v>Base</x:v>
      </x:c>
      <x:c r="C1" s="10" t="str">
        <x:v>Updated</x:v>
      </x:c>
      <x:c r="D1" s="10" t="str">
        <x:v>Unit / note</x:v>
      </x:c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Project capacity</x:v>
      </x:c>
      <x:c r="B2" s="28" t="n">
        <x:v>250</x:v>
      </x:c>
      <x:c r="C2" s="28" t="n">
        <x:v>250</x:v>
      </x:c>
      <x:c r="D2" s="28" t="str">
        <x:v>MW</x:v>
      </x:c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Firm contracted capacity</x:v>
      </x:c>
      <x:c r="B3" s="28" t="n">
        <x:v>200</x:v>
      </x:c>
      <x:c r="C3" s="28" t="n">
        <x:v>150</x:v>
      </x:c>
      <x:c r="D3" s="28" t="str">
        <x:v>MW</x:v>
      </x:c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Total CAPEX</x:v>
      </x:c>
      <x:c r="B4" s="29" t="n">
        <x:v>186000000</x:v>
      </x:c>
      <x:c r="C4" s="29" t="n">
        <x:v>199000000</x:v>
      </x:c>
      <x:c r="D4" s="28" t="str">
        <x:v>USD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Downside CAPEX</x:v>
      </x:c>
      <x:c r="B5" s="29" t="n">
        <x:v>186000000</x:v>
      </x:c>
      <x:c r="C5" s="29" t="n">
        <x:v>211000000</x:v>
      </x:c>
      <x:c r="D5" s="28" t="str">
        <x:v>USD</x:v>
      </x:c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Debt share</x:v>
      </x:c>
      <x:c r="B6" s="30" t="n">
        <x:v>0.65</x:v>
      </x:c>
      <x:c r="C6" s="30" t="n">
        <x:v>0.65</x:v>
      </x:c>
      <x:c r="D6" s="28" t="str">
        <x:v>%</x:v>
      </x:c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Debt rate</x:v>
      </x:c>
      <x:c r="B7" s="30" t="n">
        <x:v>0.0675</x:v>
      </x:c>
      <x:c r="C7" s="30" t="n">
        <x:v>0.0675</x:v>
      </x:c>
      <x:c r="D7" s="28" t="str">
        <x:v>%</x:v>
      </x:c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 t="str">
        <x:v>Debt tenor</x:v>
      </x:c>
      <x:c r="B8" s="28" t="n">
        <x:v>18</x:v>
      </x:c>
      <x:c r="C8" s="28" t="n">
        <x:v>18</x:v>
      </x:c>
      <x:c r="D8" s="28" t="str">
        <x:v>years</x:v>
      </x:c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 t="str">
        <x:v>Contract price</x:v>
      </x:c>
      <x:c r="B9" s="28" t="n">
        <x:v>62</x:v>
      </x:c>
      <x:c r="C9" s="28" t="n">
        <x:v>62</x:v>
      </x:c>
      <x:c r="D9" s="28" t="str">
        <x:v>$/MWh</x:v>
      </x:c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 t="str">
        <x:v>Merchant price</x:v>
      </x:c>
      <x:c r="B10" s="28" t="n">
        <x:v>47.5</x:v>
      </x:c>
      <x:c r="C10" s="28" t="n">
        <x:v>47.5</x:v>
      </x:c>
      <x:c r="D10" s="28" t="str">
        <x:v>$/MWh</x:v>
      </x:c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 t="str">
        <x:v>Capacity factor</x:v>
      </x:c>
      <x:c r="B11" s="30" t="n">
        <x:v>0.29</x:v>
      </x:c>
      <x:c r="C11" s="30" t="n">
        <x:v>0.29</x:v>
      </x:c>
      <x:c r="D11" s="28" t="str">
        <x:v>%</x:v>
      </x:c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 t="str">
        <x:v>Annual degradation</x:v>
      </x:c>
      <x:c r="B12" s="30" t="n">
        <x:v>0.004</x:v>
      </x:c>
      <x:c r="C12" s="30" t="n">
        <x:v>0.004</x:v>
      </x:c>
      <x:c r="D12" s="28" t="str">
        <x:v>%</x:v>
      </x:c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 t="str">
        <x:v>OPEX</x:v>
      </x:c>
      <x:c r="B13" s="29" t="n">
        <x:v>5600000</x:v>
      </x:c>
      <x:c r="C13" s="29" t="n">
        <x:v>6100000</x:v>
      </x:c>
      <x:c r="D13" s="28" t="str">
        <x:v>USD/year</x:v>
      </x:c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 t="str">
        <x:v>Tax / reserve load</x:v>
      </x:c>
      <x:c r="B14" s="28" t="n">
        <x:v>0.08</x:v>
      </x:c>
      <x:c r="C14" s="28" t="n">
        <x:v>0.08</x:v>
      </x:c>
      <x:c r="D14" s="28" t="str">
        <x:v>% of EBITDA proxy</x:v>
      </x:c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 t="str">
        <x:v>Target min DSCR</x:v>
      </x:c>
      <x:c r="B15" s="28" t="n">
        <x:v>1.25</x:v>
      </x:c>
      <x:c r="C15" s="28" t="n">
        <x:v>1.25</x:v>
      </x:c>
      <x:c r="D15" s="28" t="str">
        <x:v>x</x:v>
      </x:c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34" t="str">
        <x:v>FINANCIAL SENSITIVITY - SYNTHETIC DEMO</x:v>
      </x:c>
      <x:c r="B1" s="34"/>
      <x:c r="C1" s="34"/>
      <x:c r="D1" s="34"/>
      <x:c r="E1" s="34"/>
      <x:c r="F1" s="34"/>
      <x:c r="G1" s="34"/>
      <x:c r="H1" s="34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10" t="str">
        <x:v>Scenario</x:v>
      </x:c>
      <x:c r="B3" s="10" t="str">
        <x:v>CAPEX ($M)</x:v>
      </x:c>
      <x:c r="C3" s="10" t="str">
        <x:v>Firm MW</x:v>
      </x:c>
      <x:c r="D3" s="10" t="str">
        <x:v>Revenue Proxy ($M)</x:v>
      </x:c>
      <x:c r="E3" s="10" t="str">
        <x:v>EBITDA Proxy ($M)</x:v>
      </x:c>
      <x:c r="F3" s="10" t="str">
        <x:v>Equity IRR Proxy</x:v>
      </x:c>
      <x:c r="G3" s="10" t="str">
        <x:v>DSCR Proxy</x:v>
      </x:c>
      <x:c r="H3" s="10" t="str">
        <x:v>Decision</x:v>
      </x:c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Base model</x:v>
      </x:c>
      <x:c r="B4" s="28" t="n">
        <x:v>186</x:v>
      </x:c>
      <x:c r="C4" s="28" t="n">
        <x:v>200</x:v>
      </x:c>
      <x:c r="D4" s="28" t="n">
        <x:f>((C4*8760*Inputs!$C$11*Inputs!$C$9)+((Inputs!$C$2-C4)*8760*Inputs!$C$11*Inputs!$C$10))/1000000</x:f>
        <x:v>37.534409999999994</x:v>
      </x:c>
      <x:c r="E4" s="28" t="n">
        <x:f>D4-(Inputs!$C$13/1000000)</x:f>
        <x:v>31.434409999999993</x:v>
      </x:c>
      <x:c r="F4" s="35" t="n">
        <x:f>MAX(0,(E4/B4)*0.95)</x:f>
        <x:v>0.16055209408602147</x:v>
      </x:c>
      <x:c r="G4" s="36" t="n">
        <x:f>MAX(0,E4/((B4*Inputs!$C$6*Inputs!$C$7)/1000000+1))</x:f>
        <x:v>31.43415347373203</x:v>
      </x:c>
      <x:c r="H4" s="28" t="str">
        <x:f>IF(AND(F4&gt;=0.13,G4&gt;=Inputs!$C$15),"PASS","REVIEW")</x:f>
        <x:v>PASS</x:v>
      </x:c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Updated materials</x:v>
      </x:c>
      <x:c r="B5" s="28" t="n">
        <x:v>199</x:v>
      </x:c>
      <x:c r="C5" s="28" t="n">
        <x:v>200</x:v>
      </x:c>
      <x:c r="D5" s="28" t="n">
        <x:f>((C5*8760*Inputs!$C$11*Inputs!$C$9)+((Inputs!$C$2-C5)*8760*Inputs!$C$11*Inputs!$C$10))/1000000</x:f>
        <x:v>37.534409999999994</x:v>
      </x:c>
      <x:c r="E5" s="28" t="n">
        <x:f>D5-(Inputs!$C$13/1000000)</x:f>
        <x:v>31.434409999999993</x:v>
      </x:c>
      <x:c r="F5" s="35" t="n">
        <x:f>MAX(0,(E5/B5)*0.95)</x:f>
        <x:v>0.15006376633165824</x:v>
      </x:c>
      <x:c r="G5" s="36" t="n">
        <x:f>MAX(0,E5/((B5*Inputs!$C$6*Inputs!$C$7)/1000000+1))</x:f>
        <x:v>31.434135544633282</x:v>
      </x:c>
      <x:c r="H5" s="28" t="str">
        <x:f>IF(AND(F5&gt;=0.13,G5&gt;=Inputs!$C$15),"PASS","REVIEW")</x:f>
        <x:v>PASS</x:v>
      </x:c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Demand corrected</x:v>
      </x:c>
      <x:c r="B6" s="28" t="n">
        <x:v>186</x:v>
      </x:c>
      <x:c r="C6" s="28" t="n">
        <x:v>150</x:v>
      </x:c>
      <x:c r="D6" s="28" t="n">
        <x:f>((C6*8760*Inputs!$C$11*Inputs!$C$9)+((Inputs!$C$2-C6)*8760*Inputs!$C$11*Inputs!$C$10))/1000000</x:f>
        <x:v>35.69262</x:v>
      </x:c>
      <x:c r="E6" s="28" t="n">
        <x:f>D6-(Inputs!$C$13/1000000)</x:f>
        <x:v>29.592619999999997</x:v>
      </x:c>
      <x:c r="F6" s="35" t="n">
        <x:f>MAX(0,(E6/B6)*0.95)</x:f>
        <x:v>0.1511451021505376</x:v>
      </x:c>
      <x:c r="G6" s="36" t="n">
        <x:f>MAX(0,E6/((B6*Inputs!$C$6*Inputs!$C$7)/1000000+1))</x:f>
        <x:v>29.59237850399712</x:v>
      </x:c>
      <x:c r="H6" s="28" t="str">
        <x:f>IF(AND(F6&gt;=0.13,G6&gt;=Inputs!$C$15),"PASS","REVIEW")</x:f>
        <x:v>PASS</x:v>
      </x:c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Combined downside</x:v>
      </x:c>
      <x:c r="B7" s="28" t="n">
        <x:v>211</x:v>
      </x:c>
      <x:c r="C7" s="28" t="n">
        <x:v>150</x:v>
      </x:c>
      <x:c r="D7" s="28" t="n">
        <x:f>((C7*8760*Inputs!$C$11*Inputs!$C$9)+((Inputs!$C$2-C7)*8760*Inputs!$C$11*Inputs!$C$10))/1000000</x:f>
        <x:v>35.69262</x:v>
      </x:c>
      <x:c r="E7" s="28" t="n">
        <x:f>D7-(Inputs!$C$13/1000000)</x:f>
        <x:v>29.592619999999997</x:v>
      </x:c>
      <x:c r="F7" s="35" t="n">
        <x:f>MAX(0,(E7/B7)*0.95)</x:f>
        <x:v>0.1332369146919431</x:v>
      </x:c>
      <x:c r="G7" s="36" t="n">
        <x:f>MAX(0,E7/((B7*Inputs!$C$6*Inputs!$C$7)/1000000+1))</x:f>
        <x:v>29.59234604515744</x:v>
      </x:c>
      <x:c r="H7" s="28" t="str">
        <x:f>IF(AND(F7&gt;=0.13,G7&gt;=Inputs!$C$15),"PASS","REVIEW")</x:f>
        <x:v>PASS</x:v>
      </x:c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 t="str">
        <x:v>Mitigated case</x:v>
      </x:c>
      <x:c r="B8" s="28" t="n">
        <x:v>199</x:v>
      </x:c>
      <x:c r="C8" s="28" t="n">
        <x:v>200</x:v>
      </x:c>
      <x:c r="D8" s="28" t="n">
        <x:f>((C8*8760*Inputs!$C$11*Inputs!$C$9)+((Inputs!$C$2-C8)*8760*Inputs!$C$11*Inputs!$C$10))/1000000</x:f>
        <x:v>37.534409999999994</x:v>
      </x:c>
      <x:c r="E8" s="28" t="n">
        <x:f>D8-(Inputs!$C$13/1000000)</x:f>
        <x:v>31.434409999999993</x:v>
      </x:c>
      <x:c r="F8" s="35" t="n">
        <x:f>MAX(0,(E8/B8)*0.95)</x:f>
        <x:v>0.15006376633165824</x:v>
      </x:c>
      <x:c r="G8" s="36" t="n">
        <x:f>MAX(0,E8/((B8*Inputs!$C$6*Inputs!$C$7)/1000000+1))</x:f>
        <x:v>31.434135544633282</x:v>
      </x:c>
      <x:c r="H8" s="28" t="str">
        <x:f>IF(AND(F8&gt;=0.13,G8&gt;=Inputs!$C$15),"PASS","REVIEW")</x:f>
        <x:v>PASS</x:v>
      </x:c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888a8f323c04650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Year</x:v>
      </x:c>
      <x:c r="B1" s="10" t="str">
        <x:v>Generation (MWh)</x:v>
      </x:c>
      <x:c r="C1" s="10" t="str">
        <x:v>Contracted Revenue</x:v>
      </x:c>
      <x:c r="D1" s="10" t="str">
        <x:v>Merchant Revenue</x:v>
      </x:c>
      <x:c r="E1" s="10" t="str">
        <x:v>Total Revenue</x:v>
      </x:c>
      <x:c r="F1" s="10" t="str">
        <x:v>OPEX</x:v>
      </x:c>
      <x:c r="G1" s="10" t="str">
        <x:v>EBITDA</x:v>
      </x:c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2028</x:v>
      </x:c>
      <x:c r="B2" s="40" t="n">
        <x:f>Inputs!$C$2*8760*Inputs!$C$11*((1-Inputs!$C$12)^0)</x:f>
        <x:v>635100</x:v>
      </x:c>
      <x:c r="C2" s="29" t="n">
        <x:f>B2*(Inputs!$C$3/Inputs!$C$2)*Inputs!$C$9</x:f>
        <x:v>23625720</x:v>
      </x:c>
      <x:c r="D2" s="29" t="n">
        <x:f>B2*((Inputs!$C$2-Inputs!$C$3)/Inputs!$C$2)*Inputs!$C$10</x:f>
        <x:v>12066900</x:v>
      </x:c>
      <x:c r="E2" s="29" t="n">
        <x:f>C2+D2</x:f>
        <x:v>35692620</x:v>
      </x:c>
      <x:c r="F2" s="29" t="n">
        <x:f>Inputs!$C$13*(1.02^0)</x:f>
        <x:v>6100000</x:v>
      </x:c>
      <x:c r="G2" s="29" t="n">
        <x:f>E2-F2</x:f>
        <x:v>29592620</x:v>
      </x:c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2029</x:v>
      </x:c>
      <x:c r="B3" s="40" t="n">
        <x:f>Inputs!$C$2*8760*Inputs!$C$11*((1-Inputs!$C$12)^1)</x:f>
        <x:v>632559.6</x:v>
      </x:c>
      <x:c r="C3" s="29" t="n">
        <x:f>B3*(Inputs!$C$3/Inputs!$C$2)*Inputs!$C$9</x:f>
        <x:v>23531217.119999997</x:v>
      </x:c>
      <x:c r="D3" s="29" t="n">
        <x:f>B3*((Inputs!$C$2-Inputs!$C$3)/Inputs!$C$2)*Inputs!$C$10</x:f>
        <x:v>12018632.4</x:v>
      </x:c>
      <x:c r="E3" s="29" t="n">
        <x:f>C3+D3</x:f>
        <x:v>35549849.519999996</x:v>
      </x:c>
      <x:c r="F3" s="29" t="n">
        <x:f>Inputs!$C$13*(1.02^1)</x:f>
        <x:v>6222000</x:v>
      </x:c>
      <x:c r="G3" s="29" t="n">
        <x:f>E3-F3</x:f>
        <x:v>29327849.519999996</x:v>
      </x:c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2030</x:v>
      </x:c>
      <x:c r="B4" s="40" t="n">
        <x:f>Inputs!$C$2*8760*Inputs!$C$11*((1-Inputs!$C$12)^2)</x:f>
        <x:v>630029.3616000001</x:v>
      </x:c>
      <x:c r="C4" s="29" t="n">
        <x:f>B4*(Inputs!$C$3/Inputs!$C$2)*Inputs!$C$9</x:f>
        <x:v>23437092.25152</x:v>
      </x:c>
      <x:c r="D4" s="29" t="n">
        <x:f>B4*((Inputs!$C$2-Inputs!$C$3)/Inputs!$C$2)*Inputs!$C$10</x:f>
        <x:v>11970557.870400002</x:v>
      </x:c>
      <x:c r="E4" s="29" t="n">
        <x:f>C4+D4</x:f>
        <x:v>35407650.121920004</x:v>
      </x:c>
      <x:c r="F4" s="29" t="n">
        <x:f>Inputs!$C$13*(1.02^2)</x:f>
        <x:v>6346440</x:v>
      </x:c>
      <x:c r="G4" s="29" t="n">
        <x:f>E4-F4</x:f>
        <x:v>29061210.121920004</x:v>
      </x:c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2031</x:v>
      </x:c>
      <x:c r="B5" s="40" t="n">
        <x:f>Inputs!$C$2*8760*Inputs!$C$11*((1-Inputs!$C$12)^3)</x:f>
        <x:v>627509.2441536</x:v>
      </x:c>
      <x:c r="C5" s="29" t="n">
        <x:f>B5*(Inputs!$C$3/Inputs!$C$2)*Inputs!$C$9</x:f>
        <x:v>23343343.882513918</x:v>
      </x:c>
      <x:c r="D5" s="29" t="n">
        <x:f>B5*((Inputs!$C$2-Inputs!$C$3)/Inputs!$C$2)*Inputs!$C$10</x:f>
        <x:v>11922675.6389184</x:v>
      </x:c>
      <x:c r="E5" s="29" t="n">
        <x:f>C5+D5</x:f>
        <x:v>35266019.52143232</x:v>
      </x:c>
      <x:c r="F5" s="29" t="n">
        <x:f>Inputs!$C$13*(1.02^3)</x:f>
        <x:v>6473368.8</x:v>
      </x:c>
      <x:c r="G5" s="29" t="n">
        <x:f>E5-F5</x:f>
        <x:v>28792650.721432317</x:v>
      </x:c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2032</x:v>
      </x:c>
      <x:c r="B6" s="40" t="n">
        <x:f>Inputs!$C$2*8760*Inputs!$C$11*((1-Inputs!$C$12)^4)</x:f>
        <x:v>624999.2071769856</x:v>
      </x:c>
      <x:c r="C6" s="29" t="n">
        <x:f>B6*(Inputs!$C$3/Inputs!$C$2)*Inputs!$C$9</x:f>
        <x:v>23249970.50698386</x:v>
      </x:c>
      <x:c r="D6" s="29" t="n">
        <x:f>B6*((Inputs!$C$2-Inputs!$C$3)/Inputs!$C$2)*Inputs!$C$10</x:f>
        <x:v>11874984.936362727</x:v>
      </x:c>
      <x:c r="E6" s="29" t="n">
        <x:f>C6+D6</x:f>
        <x:v>35124955.44334659</x:v>
      </x:c>
      <x:c r="F6" s="29" t="n">
        <x:f>Inputs!$C$13*(1.02^4)</x:f>
        <x:v>6602836.176</x:v>
      </x:c>
      <x:c r="G6" s="29" t="n">
        <x:f>E6-F6</x:f>
        <x:v>28522119.26734659</x:v>
      </x:c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2033</x:v>
      </x:c>
      <x:c r="B7" s="40" t="n">
        <x:f>Inputs!$C$2*8760*Inputs!$C$11*((1-Inputs!$C$12)^5)</x:f>
        <x:v>622499.2103482776</x:v>
      </x:c>
      <x:c r="C7" s="29" t="n">
        <x:f>B7*(Inputs!$C$3/Inputs!$C$2)*Inputs!$C$9</x:f>
        <x:v>23156970.624955926</x:v>
      </x:c>
      <x:c r="D7" s="29" t="n">
        <x:f>B7*((Inputs!$C$2-Inputs!$C$3)/Inputs!$C$2)*Inputs!$C$10</x:f>
        <x:v>11827484.996617274</x:v>
      </x:c>
      <x:c r="E7" s="29" t="n">
        <x:f>C7+D7</x:f>
        <x:v>34984455.6215732</x:v>
      </x:c>
      <x:c r="F7" s="29" t="n">
        <x:f>Inputs!$C$13*(1.02^5)</x:f>
        <x:v>6734892.89952</x:v>
      </x:c>
      <x:c r="G7" s="29" t="n">
        <x:f>E7-F7</x:f>
        <x:v>28249562.7220532</x:v>
      </x:c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 t="n">
        <x:v>2034</x:v>
      </x:c>
      <x:c r="B8" s="40" t="n">
        <x:f>Inputs!$C$2*8760*Inputs!$C$11*((1-Inputs!$C$12)^6)</x:f>
        <x:v>620009.2135068845</x:v>
      </x:c>
      <x:c r="C8" s="29" t="n">
        <x:f>B8*(Inputs!$C$3/Inputs!$C$2)*Inputs!$C$9</x:f>
        <x:v>23064342.742456105</x:v>
      </x:c>
      <x:c r="D8" s="29" t="n">
        <x:f>B8*((Inputs!$C$2-Inputs!$C$3)/Inputs!$C$2)*Inputs!$C$10</x:f>
        <x:v>11780175.056630807</x:v>
      </x:c>
      <x:c r="E8" s="29" t="n">
        <x:f>C8+D8</x:f>
        <x:v>34844517.79908691</x:v>
      </x:c>
      <x:c r="F8" s="29" t="n">
        <x:f>Inputs!$C$13*(1.02^6)</x:f>
        <x:v>6869590.7575104</x:v>
      </x:c>
      <x:c r="G8" s="29" t="n">
        <x:f>E8-F8</x:f>
        <x:v>27974927.041576512</x:v>
      </x:c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 t="n">
        <x:v>2035</x:v>
      </x:c>
      <x:c r="B9" s="40" t="n">
        <x:f>Inputs!$C$2*8760*Inputs!$C$11*((1-Inputs!$C$12)^7)</x:f>
        <x:v>617529.176652857</x:v>
      </x:c>
      <x:c r="C9" s="29" t="n">
        <x:f>B9*(Inputs!$C$3/Inputs!$C$2)*Inputs!$C$9</x:f>
        <x:v>22972085.37148628</x:v>
      </x:c>
      <x:c r="D9" s="29" t="n">
        <x:f>B9*((Inputs!$C$2-Inputs!$C$3)/Inputs!$C$2)*Inputs!$C$10</x:f>
        <x:v>11733054.356404282</x:v>
      </x:c>
      <x:c r="E9" s="29" t="n">
        <x:f>C9+D9</x:f>
        <x:v>34705139.727890566</x:v>
      </x:c>
      <x:c r="F9" s="29" t="n">
        <x:f>Inputs!$C$13*(1.02^7)</x:f>
        <x:v>7006982.572660607</x:v>
      </x:c>
      <x:c r="G9" s="29" t="n">
        <x:f>E9-F9</x:f>
        <x:v>27698157.15522996</x:v>
      </x:c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 t="n">
        <x:v>2036</x:v>
      </x:c>
      <x:c r="B10" s="40" t="n">
        <x:f>Inputs!$C$2*8760*Inputs!$C$11*((1-Inputs!$C$12)^8)</x:f>
        <x:v>615059.0599462456</x:v>
      </x:c>
      <x:c r="C10" s="29" t="n">
        <x:f>B10*(Inputs!$C$3/Inputs!$C$2)*Inputs!$C$9</x:f>
        <x:v>22880197.030000336</x:v>
      </x:c>
      <x:c r="D10" s="29" t="n">
        <x:f>B10*((Inputs!$C$2-Inputs!$C$3)/Inputs!$C$2)*Inputs!$C$10</x:f>
        <x:v>11686122.138978668</x:v>
      </x:c>
      <x:c r="E10" s="29" t="n">
        <x:f>C10+D10</x:f>
        <x:v>34566319.168979004</x:v>
      </x:c>
      <x:c r="F10" s="29" t="n">
        <x:f>Inputs!$C$13*(1.02^8)</x:f>
        <x:v>7147122.22411382</x:v>
      </x:c>
      <x:c r="G10" s="29" t="n">
        <x:f>E10-F10</x:f>
        <x:v>27419196.944865182</x:v>
      </x:c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 t="n">
        <x:v>2037</x:v>
      </x:c>
      <x:c r="B11" s="40" t="n">
        <x:f>Inputs!$C$2*8760*Inputs!$C$11*((1-Inputs!$C$12)^9)</x:f>
        <x:v>612598.8237064607</x:v>
      </x:c>
      <x:c r="C11" s="29" t="n">
        <x:f>B11*(Inputs!$C$3/Inputs!$C$2)*Inputs!$C$9</x:f>
        <x:v>22788676.241880335</x:v>
      </x:c>
      <x:c r="D11" s="29" t="n">
        <x:f>B11*((Inputs!$C$2-Inputs!$C$3)/Inputs!$C$2)*Inputs!$C$10</x:f>
        <x:v>11639377.650422754</x:v>
      </x:c>
      <x:c r="E11" s="29" t="n">
        <x:f>C11+D11</x:f>
        <x:v>34428053.89230309</x:v>
      </x:c>
      <x:c r="F11" s="29" t="n">
        <x:f>Inputs!$C$13*(1.02^9)</x:f>
        <x:v>7290064.668596096</x:v>
      </x:c>
      <x:c r="G11" s="29" t="n">
        <x:f>E11-F11</x:f>
        <x:v>27137989.22370699</x:v>
      </x:c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</x:sheetData>
  <x:pageMargins left="0.7" right="0.7" top="0.75" bottom="0.75" header="0.3" footer="0.3"/>
</x:worksheet>
</file>