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5b2ff3e84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8464dcbb824493"/>
    <x:sheet xmlns:r="http://schemas.openxmlformats.org/officeDocument/2006/relationships" name="Risk Register" sheetId="2" r:id="Rd6b314e9e8c24c57"/>
    <x:sheet xmlns:r="http://schemas.openxmlformats.org/officeDocument/2006/relationships" name="Scoring" sheetId="3" r:id="Rbe987169b1594499"/>
    <x:sheet xmlns:r="http://schemas.openxmlformats.org/officeDocument/2006/relationships" name="Evidence Map" sheetId="4" r:id="R1f9d0d0e6bbd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b/>
      <x:sz val="15"/>
      <x:color rgb="FF222222"/>
      <x:name val="Carlito"/>
    </x:font>
    <x:font>
      <x:b/>
      <x:sz val="11"/>
      <x:color rgb="FF22222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22222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9f0798a764e02" /><Relationship Type="http://schemas.openxmlformats.org/officeDocument/2006/relationships/theme" Target="/xl/theme/theme1.xml" Id="R61fe845bfb8f4ad7" /><Relationship Type="http://schemas.openxmlformats.org/officeDocument/2006/relationships/sharedStrings" Target="/xl/sharedStrings.xml" Id="R5ef00cc080104d2d" /><Relationship Type="http://schemas.openxmlformats.org/officeDocument/2006/relationships/worksheet" Target="/xl/worksheets/sheet1.xml" Id="Re88464dcbb824493" /><Relationship Type="http://schemas.openxmlformats.org/officeDocument/2006/relationships/worksheet" Target="/xl/worksheets/sheet2.xml" Id="Rd6b314e9e8c24c57" /><Relationship Type="http://schemas.openxmlformats.org/officeDocument/2006/relationships/worksheet" Target="/xl/worksheets/sheet3.xml" Id="Rbe987169b1594499" /><Relationship Type="http://schemas.openxmlformats.org/officeDocument/2006/relationships/worksheet" Target="/xl/worksheets/sheet4.xml" Id="R1f9d0d0e6bbd4b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ffb7cbaf3245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Readiness by Risk Factor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Score (0-100)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ffb7cbaf3245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694f8055334b9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PROJECT RED FLAG - RISK DASHBOARD</x:v>
      </x:c>
      <x:c r="B1" s="4"/>
      <x:c r="C1" s="4"/>
      <x:c r="D1" s="4"/>
      <x:c r="E1" s="4"/>
      <x:c r="F1" s="4"/>
      <x:c r="G1" s="4"/>
      <x:c r="H1" s="4"/>
    </x:row>
    <x:row r="3">
      <x:c r="A3" s="9" t="str">
        <x:v>Project</x:v>
      </x:c>
      <x:c r="B3" t="str">
        <x:v>Solar Alpha</x:v>
      </x:c>
    </x:row>
    <x:row r="4">
      <x:c r="A4" s="9" t="str">
        <x:v>Location</x:v>
      </x:c>
      <x:c r="B4" t="str">
        <x:v>Solano County, California (fictional demo site)</x:v>
      </x:c>
    </x:row>
    <x:row r="5">
      <x:c r="A5" s="9" t="str">
        <x:v>Overall readiness</x:v>
      </x:c>
      <x:c r="B5" s="24" t="n">
        <x:f>C16</x:f>
        <x:v>26.000000000000004</x:v>
      </x:c>
      <x:c r="C5" t="n">
        <x:f>C16</x:f>
        <x:v>26.000000000000004</x:v>
      </x:c>
    </x:row>
    <x:row r="6">
      <x:c r="A6" s="9" t="str">
        <x:v>Critical risks</x:v>
      </x:c>
      <x:c r="B6" t="n">
        <x:f>COUNTIF('Risk Register'!H2:H40,"Critical")</x:f>
        <x:v>7</x:v>
      </x:c>
    </x:row>
    <x:row r="7">
      <x:c r="A7" s="9" t="str">
        <x:v>High risks</x:v>
      </x:c>
      <x:c r="B7" t="n">
        <x:f>COUNTIF('Risk Register'!H2:H40,"High")</x:f>
        <x:v>8</x:v>
      </x:c>
    </x:row>
    <x:row r="10">
      <x:c r="A10" s="20" t="str">
        <x:v>Risk Factor</x:v>
      </x:c>
      <x:c r="B10" s="20" t="str">
        <x:v>Weight</x:v>
      </x:c>
      <x:c r="C10" s="20" t="str">
        <x:v>Score (0-100)</x:v>
      </x:c>
      <x:c r="D10" s="20" t="str">
        <x:v>Weighted Score</x:v>
      </x:c>
    </x:row>
    <x:row r="11">
      <x:c r="A11" s="26" t="str">
        <x:v>Land</x:v>
      </x:c>
      <x:c r="B11" s="27" t="n">
        <x:v>0.2</x:v>
      </x:c>
      <x:c r="C11" s="26" t="n">
        <x:f>Scoring!G2</x:f>
        <x:v>38</x:v>
      </x:c>
      <x:c r="D11" s="26" t="n">
        <x:f>B11*C11</x:f>
        <x:v>7.6000000000000005</x:v>
      </x:c>
    </x:row>
    <x:row r="12">
      <x:c r="A12" s="26" t="str">
        <x:v>Law</x:v>
      </x:c>
      <x:c r="B12" s="27" t="n">
        <x:v>0.2</x:v>
      </x:c>
      <x:c r="C12" s="26" t="n">
        <x:f>Scoring!G3</x:f>
        <x:v>18.66666666666667</x:v>
      </x:c>
      <x:c r="D12" s="26" t="n">
        <x:f>B12*C12</x:f>
        <x:v>3.7333333333333343</x:v>
      </x:c>
    </x:row>
    <x:row r="13">
      <x:c r="A13" s="26" t="str">
        <x:v>Finance</x:v>
      </x:c>
      <x:c r="B13" s="27" t="n">
        <x:v>0.25</x:v>
      </x:c>
      <x:c r="C13" s="26" t="n">
        <x:f>Scoring!G4</x:f>
        <x:v>18.66666666666667</x:v>
      </x:c>
      <x:c r="D13" s="26" t="n">
        <x:f>B13*C13</x:f>
        <x:v>4.666666666666668</x:v>
      </x:c>
    </x:row>
    <x:row r="14">
      <x:c r="A14" s="26" t="str">
        <x:v>Materials</x:v>
      </x:c>
      <x:c r="B14" s="27" t="n">
        <x:v>0.2</x:v>
      </x:c>
      <x:c r="C14" s="26" t="n">
        <x:f>Scoring!G5</x:f>
        <x:v>24</x:v>
      </x:c>
      <x:c r="D14" s="26" t="n">
        <x:f>B14*C14</x:f>
        <x:v>4.800000000000001</x:v>
      </x:c>
    </x:row>
    <x:row r="15">
      <x:c r="A15" s="26" t="str">
        <x:v>Demand</x:v>
      </x:c>
      <x:c r="B15" s="27" t="n">
        <x:v>0.15</x:v>
      </x:c>
      <x:c r="C15" s="26" t="n">
        <x:f>Scoring!G6</x:f>
        <x:v>34.66666666666667</x:v>
      </x:c>
      <x:c r="D15" s="26" t="n">
        <x:f>B15*C15</x:f>
        <x:v>5.2</x:v>
      </x:c>
    </x:row>
    <x:row r="16">
      <x:c r="A16" s="26" t="str">
        <x:v>TOTAL</x:v>
      </x:c>
      <x:c r="B16" s="27" t="n">
        <x:v>1</x:v>
      </x:c>
      <x:c r="C16" s="26" t="n">
        <x:f>SUM(D11:D15)</x:f>
        <x:v>26.000000000000004</x:v>
      </x:c>
      <x:c r="D16" s="26" t="n">
        <x:f>SUM(D11:D15)</x:f>
        <x:v>26.000000000000004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a694f8055334b9e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34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22" hidden="0" customWidth="1"/>
    <x:col min="10" max="10" width="36" hidden="0" customWidth="1"/>
    <x:col min="11" max="11" width="24" hidden="0" customWidth="1"/>
    <x:col min="12" max="12" width="12" hidden="0" customWidth="1"/>
  </x:cols>
  <x:sheetData>
    <x:row r="1">
      <x:c r="A1" s="20" t="str">
        <x:v>Risk ID</x:v>
      </x:c>
      <x:c r="B1" s="20" t="str">
        <x:v>Factor</x:v>
      </x:c>
      <x:c r="C1" s="20" t="str">
        <x:v>Subfactor</x:v>
      </x:c>
      <x:c r="D1" s="20" t="str">
        <x:v>Risk</x:v>
      </x:c>
      <x:c r="E1" s="20" t="str">
        <x:v>Evidence / Trigger</x:v>
      </x:c>
      <x:c r="F1" s="20" t="str">
        <x:v>Likelihood (1-5)</x:v>
      </x:c>
      <x:c r="G1" s="20" t="str">
        <x:v>Impact (1-5)</x:v>
      </x:c>
      <x:c r="H1" s="20" t="str">
        <x:v>Severity</x:v>
      </x:c>
      <x:c r="I1" s="20" t="str">
        <x:v>Owner</x:v>
      </x:c>
      <x:c r="J1" s="20" t="str">
        <x:v>Mitigation</x:v>
      </x:c>
      <x:c r="K1" s="20" t="str">
        <x:v>Source Document</x:v>
      </x:c>
      <x:c r="L1" s="20" t="str">
        <x:v>Risk Score</x:v>
      </x:c>
    </x:row>
    <x:row r="2">
      <x:c r="A2" t="str">
        <x:v>RF-001</x:v>
      </x:c>
      <x:c r="B2" t="str">
        <x:v>Land</x:v>
      </x:c>
      <x:c r="C2" t="str">
        <x:v>Site Control</x:v>
      </x:c>
      <x:c r="D2" t="str">
        <x:v>Parcel 14 option unsigned</x:v>
      </x:c>
      <x:c r="E2" t="str">
        <x:v>Collector alignment depends on 18 acres shown as controlled in schedule but unsigned in title file.</x:v>
      </x:c>
      <x:c r="F2" t="n">
        <x:v>5</x:v>
      </x:c>
      <x:c r="G2" t="n">
        <x:v>5</x:v>
      </x:c>
      <x:c r="H2" t="str">
        <x:v>Critical</x:v>
      </x:c>
      <x:c r="I2" t="str">
        <x:v>Legal / Development</x:v>
      </x:c>
      <x:c r="J2" t="str">
        <x:v>Resolve option or redesign alignment</x:v>
      </x:c>
      <x:c r="K2" t="str">
        <x:v>01 Land report</x:v>
      </x:c>
      <x:c r="L2" t="n">
        <x:f>F2*G2</x:f>
        <x:v>25</x:v>
      </x:c>
    </x:row>
    <x:row r="3">
      <x:c r="A3" t="str">
        <x:v>RF-002</x:v>
      </x:c>
      <x:c r="B3" t="str">
        <x:v>Land</x:v>
      </x:c>
      <x:c r="C3" t="str">
        <x:v>Access</x:v>
      </x:c>
      <x:c r="D3" t="str">
        <x:v>Heavy-haul easement language may not permit oversize construction traffic</x:v>
      </x:c>
      <x:c r="E3" t="str">
        <x:v>Primary equipment logistics depend on private agricultural access easement.</x:v>
      </x:c>
      <x:c r="F3" t="n">
        <x:v>4</x:v>
      </x:c>
      <x:c r="G3" t="n">
        <x:v>4</x:v>
      </x:c>
      <x:c r="H3" t="str">
        <x:v>High</x:v>
      </x:c>
      <x:c r="I3" t="str">
        <x:v>Legal / Logistics</x:v>
      </x:c>
      <x:c r="J3" t="str">
        <x:v>Confirm easement rights and alternate route</x:v>
      </x:c>
      <x:c r="K3" t="str">
        <x:v>01 Land report</x:v>
      </x:c>
      <x:c r="L3" t="n">
        <x:f>F3*G3</x:f>
        <x:v>16</x:v>
      </x:c>
    </x:row>
    <x:row r="4">
      <x:c r="A4" t="str">
        <x:v>RF-003</x:v>
      </x:c>
      <x:c r="B4" t="str">
        <x:v>Land</x:v>
      </x:c>
      <x:c r="C4" t="str">
        <x:v>Flood / Drainage</x:v>
      </x:c>
      <x:c r="D4" t="str">
        <x:v>12% of site mapped flood-prone</x:v>
      </x:c>
      <x:c r="E4" t="str">
        <x:v>Panel layout and civil works may require redesign.</x:v>
      </x:c>
      <x:c r="F4" t="n">
        <x:v>3</x:v>
      </x:c>
      <x:c r="G4" t="n">
        <x:v>3</x:v>
      </x:c>
      <x:c r="H4" t="str">
        <x:v>Medium</x:v>
      </x:c>
      <x:c r="I4" t="str">
        <x:v>Civil</x:v>
      </x:c>
      <x:c r="J4" t="str">
        <x:v>Update hydrology and layout</x:v>
      </x:c>
      <x:c r="K4" t="str">
        <x:v>01 Land report</x:v>
      </x:c>
      <x:c r="L4" t="n">
        <x:f>F4*G4</x:f>
        <x:v>9</x:v>
      </x:c>
    </x:row>
    <x:row r="5">
      <x:c r="A5" t="str">
        <x:v>RF-004</x:v>
      </x:c>
      <x:c r="B5" t="str">
        <x:v>Law</x:v>
      </x:c>
      <x:c r="C5" t="str">
        <x:v>Permitting Sequence</x:v>
      </x:c>
      <x:c r="D5" t="str">
        <x:v>Early grading precedes environmental review milestone</x:v>
      </x:c>
      <x:c r="E5" t="str">
        <x:v>Schedule starts work Oct 14; environmental review/consultation targeted Dec.</x:v>
      </x:c>
      <x:c r="F5" t="n">
        <x:v>5</x:v>
      </x:c>
      <x:c r="G5" t="n">
        <x:v>5</x:v>
      </x:c>
      <x:c r="H5" t="str">
        <x:v>Critical</x:v>
      </x:c>
      <x:c r="I5" t="str">
        <x:v>Legal / PMO</x:v>
      </x:c>
      <x:c r="J5" t="str">
        <x:v>Validate lawful early works or shift schedule</x:v>
      </x:c>
      <x:c r="K5" t="str">
        <x:v>03 Legal memo</x:v>
      </x:c>
      <x:c r="L5" t="n">
        <x:f>F5*G5</x:f>
        <x:v>25</x:v>
      </x:c>
    </x:row>
    <x:row r="6">
      <x:c r="A6" t="str">
        <x:v>RF-005</x:v>
      </x:c>
      <x:c r="B6" t="str">
        <x:v>Law</x:v>
      </x:c>
      <x:c r="C6" t="str">
        <x:v>Habitat Consultation</x:v>
      </x:c>
      <x:c r="D6" t="str">
        <x:v>Protected raptor consultation remains open</x:v>
      </x:c>
      <x:c r="E6" t="str">
        <x:v>Potential seasonal buffer affects 46 acres.</x:v>
      </x:c>
      <x:c r="F6" t="n">
        <x:v>4</x:v>
      </x:c>
      <x:c r="G6" t="n">
        <x:v>5</x:v>
      </x:c>
      <x:c r="H6" t="str">
        <x:v>Critical</x:v>
      </x:c>
      <x:c r="I6" t="str">
        <x:v>Environmental</x:v>
      </x:c>
      <x:c r="J6" t="str">
        <x:v>Complete consultation and re-layout sensitivity</x:v>
      </x:c>
      <x:c r="K6" t="str">
        <x:v>02 Environmental assessment</x:v>
      </x:c>
      <x:c r="L6" t="n">
        <x:f>F6*G6</x:f>
        <x:v>20</x:v>
      </x:c>
    </x:row>
    <x:row r="7">
      <x:c r="A7" t="str">
        <x:v>RF-006</x:v>
      </x:c>
      <x:c r="B7" t="str">
        <x:v>Law</x:v>
      </x:c>
      <x:c r="C7" t="str">
        <x:v>Water</x:v>
      </x:c>
      <x:c r="D7" t="str">
        <x:v>Construction water not fully secured</x:v>
      </x:c>
      <x:c r="E7" t="str">
        <x:v>82 acre-feet required; only 50 acre-feet indicated.</x:v>
      </x:c>
      <x:c r="F7" t="n">
        <x:v>4</x:v>
      </x:c>
      <x:c r="G7" t="n">
        <x:v>4</x:v>
      </x:c>
      <x:c r="H7" t="str">
        <x:v>High</x:v>
      </x:c>
      <x:c r="I7" t="str">
        <x:v>Development</x:v>
      </x:c>
      <x:c r="J7" t="str">
        <x:v>Secure balance or alternative source</x:v>
      </x:c>
      <x:c r="K7" t="str">
        <x:v>02 Environmental assessment</x:v>
      </x:c>
      <x:c r="L7" t="n">
        <x:f>F7*G7</x:f>
        <x:v>16</x:v>
      </x:c>
    </x:row>
    <x:row r="8">
      <x:c r="A8" t="str">
        <x:v>RF-007</x:v>
      </x:c>
      <x:c r="B8" t="str">
        <x:v>Finance</x:v>
      </x:c>
      <x:c r="C8" t="str">
        <x:v>CAPEX</x:v>
      </x:c>
      <x:c r="D8" t="str">
        <x:v>Model uses stale $186M CAPEX</x:v>
      </x:c>
      <x:c r="E8" t="str">
        <x:v>Updated materials imply $199-211M.</x:v>
      </x:c>
      <x:c r="F8" t="n">
        <x:v>5</x:v>
      </x:c>
      <x:c r="G8" t="n">
        <x:v>5</x:v>
      </x:c>
      <x:c r="H8" t="str">
        <x:v>Critical</x:v>
      </x:c>
      <x:c r="I8" t="str">
        <x:v>Finance</x:v>
      </x:c>
      <x:c r="J8" t="str">
        <x:v>Rebase cost plan and returns</x:v>
      </x:c>
      <x:c r="K8" t="str">
        <x:v>07 Finance memo</x:v>
      </x:c>
      <x:c r="L8" t="n">
        <x:f>F8*G8</x:f>
        <x:v>25</x:v>
      </x:c>
    </x:row>
    <x:row r="9">
      <x:c r="A9" t="str">
        <x:v>RF-008</x:v>
      </x:c>
      <x:c r="B9" t="str">
        <x:v>Finance</x:v>
      </x:c>
      <x:c r="C9" t="str">
        <x:v>Covenant</x:v>
      </x:c>
      <x:c r="D9" t="str">
        <x:v>DSCR falls below 1.25x in updated scenarios</x:v>
      </x:c>
      <x:c r="E9" t="str">
        <x:v>Updated materials = 1.24x; demand corrected = 1.23x.</x:v>
      </x:c>
      <x:c r="F9" t="n">
        <x:v>5</x:v>
      </x:c>
      <x:c r="G9" t="n">
        <x:v>4</x:v>
      </x:c>
      <x:c r="H9" t="str">
        <x:v>Critical</x:v>
      </x:c>
      <x:c r="I9" t="str">
        <x:v>Finance</x:v>
      </x:c>
      <x:c r="J9" t="str">
        <x:v>Restructure debt / mitigate cost and offtake</x:v>
      </x:c>
      <x:c r="K9" t="str">
        <x:v>07 Finance memo</x:v>
      </x:c>
      <x:c r="L9" t="n">
        <x:f>F9*G9</x:f>
        <x:v>20</x:v>
      </x:c>
    </x:row>
    <x:row r="10">
      <x:c r="A10" t="str">
        <x:v>RF-009</x:v>
      </x:c>
      <x:c r="B10" t="str">
        <x:v>Finance</x:v>
      </x:c>
      <x:c r="C10" t="str">
        <x:v>Financing Timing</x:v>
      </x:c>
      <x:c r="D10" t="str">
        <x:v>Debt close precedes largest offtake execution</x:v>
      </x:c>
      <x:c r="E10" t="str">
        <x:v>Financing Oct; Utility A final contract Nov.</x:v>
      </x:c>
      <x:c r="F10" t="n">
        <x:v>4</x:v>
      </x:c>
      <x:c r="G10" t="n">
        <x:v>4</x:v>
      </x:c>
      <x:c r="H10" t="str">
        <x:v>High</x:v>
      </x:c>
      <x:c r="I10" t="str">
        <x:v>Finance / Commercial</x:v>
      </x:c>
      <x:c r="J10" t="str">
        <x:v>Align conditions precedent and close plan</x:v>
      </x:c>
      <x:c r="K10" t="str">
        <x:v>05 Demand + 07 Finance</x:v>
      </x:c>
      <x:c r="L10" t="n">
        <x:f>F10*G10</x:f>
        <x:v>16</x:v>
      </x:c>
    </x:row>
    <x:row r="11">
      <x:c r="A11" t="str">
        <x:v>RF-010</x:v>
      </x:c>
      <x:c r="B11" t="str">
        <x:v>Materials</x:v>
      </x:c>
      <x:c r="C11" t="str">
        <x:v>Transformer</x:v>
      </x:c>
      <x:c r="D11" t="str">
        <x:v>Lead time exceeds schedule by 24 weeks</x:v>
      </x:c>
      <x:c r="E11" t="str">
        <x:v>62-week supplier indication vs 38-week schedule.</x:v>
      </x:c>
      <x:c r="F11" t="n">
        <x:v>5</x:v>
      </x:c>
      <x:c r="G11" t="n">
        <x:v>5</x:v>
      </x:c>
      <x:c r="H11" t="str">
        <x:v>Critical</x:v>
      </x:c>
      <x:c r="I11" t="str">
        <x:v>Procurement</x:v>
      </x:c>
      <x:c r="J11" t="str">
        <x:v>Place early order / qualify alternate</x:v>
      </x:c>
      <x:c r="K11" t="str">
        <x:v>06 Materials report</x:v>
      </x:c>
      <x:c r="L11" t="n">
        <x:f>F11*G11</x:f>
        <x:v>25</x:v>
      </x:c>
    </x:row>
    <x:row r="12">
      <x:c r="A12" t="str">
        <x:v>RF-011</x:v>
      </x:c>
      <x:c r="B12" t="str">
        <x:v>Materials</x:v>
      </x:c>
      <x:c r="C12" t="str">
        <x:v>Supplier Concentration</x:v>
      </x:c>
      <x:c r="D12" t="str">
        <x:v>Only one qualified transformer supplier</x:v>
      </x:c>
      <x:c r="E12" t="str">
        <x:v>No validated backup for critical-path package.</x:v>
      </x:c>
      <x:c r="F12" t="n">
        <x:v>4</x:v>
      </x:c>
      <x:c r="G12" t="n">
        <x:v>4</x:v>
      </x:c>
      <x:c r="H12" t="str">
        <x:v>High</x:v>
      </x:c>
      <x:c r="I12" t="str">
        <x:v>Procurement</x:v>
      </x:c>
      <x:c r="J12" t="str">
        <x:v>Qualify second supplier</x:v>
      </x:c>
      <x:c r="K12" t="str">
        <x:v>06 Materials report</x:v>
      </x:c>
      <x:c r="L12" t="n">
        <x:f>F12*G12</x:f>
        <x:v>16</x:v>
      </x:c>
    </x:row>
    <x:row r="13">
      <x:c r="A13" t="str">
        <x:v>RF-012</x:v>
      </x:c>
      <x:c r="B13" t="str">
        <x:v>Materials</x:v>
      </x:c>
      <x:c r="C13" t="str">
        <x:v>Price Index</x:v>
      </x:c>
      <x:c r="D13" t="str">
        <x:v>Transformer index +28%, copper +22%</x:v>
      </x:c>
      <x:c r="E13" t="str">
        <x:v>Q1 budget quotes no longer reflect current benchmark.</x:v>
      </x:c>
      <x:c r="F13" t="n">
        <x:v>4</x:v>
      </x:c>
      <x:c r="G13" t="n">
        <x:v>4</x:v>
      </x:c>
      <x:c r="H13" t="str">
        <x:v>High</x:v>
      </x:c>
      <x:c r="I13" t="str">
        <x:v>Procurement / Finance</x:v>
      </x:c>
      <x:c r="J13" t="str">
        <x:v>Update indexed cost basis</x:v>
      </x:c>
      <x:c r="K13" t="str">
        <x:v>06 Materials report</x:v>
      </x:c>
      <x:c r="L13" t="n">
        <x:f>F13*G13</x:f>
        <x:v>16</x:v>
      </x:c>
    </x:row>
    <x:row r="14">
      <x:c r="A14" t="str">
        <x:v>RF-013</x:v>
      </x:c>
      <x:c r="B14" t="str">
        <x:v>Demand</x:v>
      </x:c>
      <x:c r="C14" t="str">
        <x:v>Contract Coverage</x:v>
      </x:c>
      <x:c r="D14" t="str">
        <x:v>Firm contracted demand only 150 MW</x:v>
      </x:c>
      <x:c r="E14" t="str">
        <x:v>Finance model assumes 200 MW firm; LOI for 50 MW is non-binding.</x:v>
      </x:c>
      <x:c r="F14" t="n">
        <x:v>5</x:v>
      </x:c>
      <x:c r="G14" t="n">
        <x:v>5</x:v>
      </x:c>
      <x:c r="H14" t="str">
        <x:v>Critical</x:v>
      </x:c>
      <x:c r="I14" t="str">
        <x:v>Commercial / Finance</x:v>
      </x:c>
      <x:c r="J14" t="str">
        <x:v>Use 150 MW firm case until contract executed</x:v>
      </x:c>
      <x:c r="K14" t="str">
        <x:v>05 Demand study</x:v>
      </x:c>
      <x:c r="L14" t="n">
        <x:f>F14*G14</x:f>
        <x:v>25</x:v>
      </x:c>
    </x:row>
    <x:row r="15">
      <x:c r="A15" t="str">
        <x:v>RF-014</x:v>
      </x:c>
      <x:c r="B15" t="str">
        <x:v>Demand</x:v>
      </x:c>
      <x:c r="C15" t="str">
        <x:v>Customer Concentration</x:v>
      </x:c>
      <x:c r="D15" t="str">
        <x:v>Utility A represents 60% of plant capacity</x:v>
      </x:c>
      <x:c r="E15" t="str">
        <x:v>Largest contract is a single counterparty.</x:v>
      </x:c>
      <x:c r="F15" t="n">
        <x:v>3</x:v>
      </x:c>
      <x:c r="G15" t="n">
        <x:v>4</x:v>
      </x:c>
      <x:c r="H15" t="str">
        <x:v>High</x:v>
      </x:c>
      <x:c r="I15" t="str">
        <x:v>Commercial</x:v>
      </x:c>
      <x:c r="J15" t="str">
        <x:v>Evaluate concentration limits / credit support</x:v>
      </x:c>
      <x:c r="K15" t="str">
        <x:v>05 Demand study</x:v>
      </x:c>
      <x:c r="L15" t="n">
        <x:f>F15*G15</x:f>
        <x:v>12</x:v>
      </x:c>
    </x:row>
    <x:row r="16">
      <x:c r="A16" t="str">
        <x:v>RF-015</x:v>
      </x:c>
      <x:c r="B16" t="str">
        <x:v>Demand</x:v>
      </x:c>
      <x:c r="C16" t="str">
        <x:v>Merchant Exposure</x:v>
      </x:c>
      <x:c r="D16" t="str">
        <x:v>20% merchant at base, 40% if LOI excluded</x:v>
      </x:c>
      <x:c r="E16" t="str">
        <x:v>Downside forward prices materially reduce coverage.</x:v>
      </x:c>
      <x:c r="F16" t="n">
        <x:v>4</x:v>
      </x:c>
      <x:c r="G16" t="n">
        <x:v>3</x:v>
      </x:c>
      <x:c r="H16" t="str">
        <x:v>High</x:v>
      </x:c>
      <x:c r="I16" t="str">
        <x:v>Commercial</x:v>
      </x:c>
      <x:c r="J16" t="str">
        <x:v>Hedge or add contracted buyer</x:v>
      </x:c>
      <x:c r="K16" t="str">
        <x:v>05 Demand study</x:v>
      </x:c>
      <x:c r="L16" t="n">
        <x:f>F16*G16</x:f>
        <x:v>12</x:v>
      </x:c>
    </x:row>
    <x:row r="17">
      <x:c r="A17" t="str">
        <x:v>RF-016</x:v>
      </x:c>
      <x:c r="B17" t="str">
        <x:v>Land</x:v>
      </x:c>
      <x:c r="C17" t="str">
        <x:v>Community</x:v>
      </x:c>
      <x:c r="D17" t="str">
        <x:v>Fallback truck route conflicts with stakeholder request</x:v>
      </x:c>
      <x:c r="E17" t="str">
        <x:v>Eastern residential road opposed by adjacent landowners.</x:v>
      </x:c>
      <x:c r="F17" t="n">
        <x:v>4</x:v>
      </x:c>
      <x:c r="G17" t="n">
        <x:v>3</x:v>
      </x:c>
      <x:c r="H17" t="str">
        <x:v>High</x:v>
      </x:c>
      <x:c r="I17" t="str">
        <x:v>Community / Logistics</x:v>
      </x:c>
      <x:c r="J17" t="str">
        <x:v>Agree routing protocol before hearing</x:v>
      </x:c>
      <x:c r="K17" t="str">
        <x:v>04 Community report</x:v>
      </x:c>
      <x:c r="L17" t="n">
        <x:f>F17*G17</x:f>
        <x:v>12</x:v>
      </x:c>
    </x:row>
  </x:sheetData>
  <x:conditionalFormatting sqref="L2:L17">
    <x:cfRule type="colorScale" priority="1">
      <x:colorScale>
        <x:cfvo type="min"/>
        <x:cfvo type="percentile" val="50"/>
        <x:cfvo type="max"/>
        <x:color rgb="FFDCFCE7"/>
        <x:color rgb="FFFCEBF5"/>
        <x:color rgb="FFFDECEC"/>
      </x:colorScale>
    </x:cfRule>
  </x:conditionalFormatting>
  <x:dataValidations count="1">
    <x:dataValidation type="list" sqref="H2:H17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0" t="str">
        <x:v>Factor</x:v>
      </x:c>
      <x:c r="B1" s="20" t="str">
        <x:v>Weight</x:v>
      </x:c>
      <x:c r="C1" s="20" t="str">
        <x:v>Avg Risk Score</x:v>
      </x:c>
      <x:c r="D1" s="20" t="str">
        <x:v>Max Risk Score</x:v>
      </x:c>
      <x:c r="E1" s="20" t="str">
        <x:v>Critical Count</x:v>
      </x:c>
      <x:c r="F1" s="20" t="str">
        <x:v>High Count</x:v>
      </x:c>
      <x:c r="G1" s="20" t="str">
        <x:v>Readiness Score</x:v>
      </x:c>
    </x:row>
    <x:row r="2">
      <x:c r="A2" t="str">
        <x:v>Land</x:v>
      </x:c>
      <x:c r="B2" s="22" t="n">
        <x:v>0.2</x:v>
      </x:c>
      <x:c r="C2" s="24" t="n">
        <x:f>SUMIF('Risk Register'!B:B,A2,'Risk Register'!L:L)/COUNTIF('Risk Register'!B:B,A2)</x:f>
        <x:v>15.5</x:v>
      </x:c>
      <x:c r="D2" s="24" t="n">
        <x:f>MAXIFS('Risk Register'!L:L,'Risk Register'!B:B,A2)</x:f>
        <x:v>25</x:v>
      </x:c>
      <x:c r="E2" s="24" t="n">
        <x:f>COUNTIFS('Risk Register'!B:B,A2,'Risk Register'!H:H,"Critical")</x:f>
        <x:v>1</x:v>
      </x:c>
      <x:c r="F2" s="24" t="n">
        <x:f>COUNTIFS('Risk Register'!B:B,A2,'Risk Register'!H:H,"High")</x:f>
        <x:v>2</x:v>
      </x:c>
      <x:c r="G2" s="24" t="n">
        <x:f>MAX(0,100-(C2*4))</x:f>
        <x:v>38</x:v>
      </x:c>
    </x:row>
    <x:row r="3">
      <x:c r="A3" t="str">
        <x:v>Law</x:v>
      </x:c>
      <x:c r="B3" s="22" t="n">
        <x:v>0.2</x:v>
      </x:c>
      <x:c r="C3" s="24" t="n">
        <x:f>SUMIF('Risk Register'!B:B,A3,'Risk Register'!L:L)/COUNTIF('Risk Register'!B:B,A3)</x:f>
        <x:v>20.333333333333332</x:v>
      </x:c>
      <x:c r="D3" s="24" t="n">
        <x:f>MAXIFS('Risk Register'!L:L,'Risk Register'!B:B,A3)</x:f>
        <x:v>25</x:v>
      </x:c>
      <x:c r="E3" s="24" t="n">
        <x:f>COUNTIFS('Risk Register'!B:B,A3,'Risk Register'!H:H,"Critical")</x:f>
        <x:v>2</x:v>
      </x:c>
      <x:c r="F3" s="24" t="n">
        <x:f>COUNTIFS('Risk Register'!B:B,A3,'Risk Register'!H:H,"High")</x:f>
        <x:v>1</x:v>
      </x:c>
      <x:c r="G3" s="24" t="n">
        <x:f>MAX(0,100-(C3*4))</x:f>
        <x:v>18.66666666666667</x:v>
      </x:c>
    </x:row>
    <x:row r="4">
      <x:c r="A4" t="str">
        <x:v>Finance</x:v>
      </x:c>
      <x:c r="B4" s="22" t="n">
        <x:v>0.25</x:v>
      </x:c>
      <x:c r="C4" s="24" t="n">
        <x:f>SUMIF('Risk Register'!B:B,A4,'Risk Register'!L:L)/COUNTIF('Risk Register'!B:B,A4)</x:f>
        <x:v>20.333333333333332</x:v>
      </x:c>
      <x:c r="D4" s="24" t="n">
        <x:f>MAXIFS('Risk Register'!L:L,'Risk Register'!B:B,A4)</x:f>
        <x:v>25</x:v>
      </x:c>
      <x:c r="E4" s="24" t="n">
        <x:f>COUNTIFS('Risk Register'!B:B,A4,'Risk Register'!H:H,"Critical")</x:f>
        <x:v>2</x:v>
      </x:c>
      <x:c r="F4" s="24" t="n">
        <x:f>COUNTIFS('Risk Register'!B:B,A4,'Risk Register'!H:H,"High")</x:f>
        <x:v>1</x:v>
      </x:c>
      <x:c r="G4" s="24" t="n">
        <x:f>MAX(0,100-(C4*4))</x:f>
        <x:v>18.66666666666667</x:v>
      </x:c>
    </x:row>
    <x:row r="5">
      <x:c r="A5" t="str">
        <x:v>Materials</x:v>
      </x:c>
      <x:c r="B5" s="22" t="n">
        <x:v>0.2</x:v>
      </x:c>
      <x:c r="C5" s="24" t="n">
        <x:f>SUMIF('Risk Register'!B:B,A5,'Risk Register'!L:L)/COUNTIF('Risk Register'!B:B,A5)</x:f>
        <x:v>19</x:v>
      </x:c>
      <x:c r="D5" s="24" t="n">
        <x:f>MAXIFS('Risk Register'!L:L,'Risk Register'!B:B,A5)</x:f>
        <x:v>25</x:v>
      </x:c>
      <x:c r="E5" s="24" t="n">
        <x:f>COUNTIFS('Risk Register'!B:B,A5,'Risk Register'!H:H,"Critical")</x:f>
        <x:v>1</x:v>
      </x:c>
      <x:c r="F5" s="24" t="n">
        <x:f>COUNTIFS('Risk Register'!B:B,A5,'Risk Register'!H:H,"High")</x:f>
        <x:v>2</x:v>
      </x:c>
      <x:c r="G5" s="24" t="n">
        <x:f>MAX(0,100-(C5*4))</x:f>
        <x:v>24</x:v>
      </x:c>
    </x:row>
    <x:row r="6">
      <x:c r="A6" t="str">
        <x:v>Demand</x:v>
      </x:c>
      <x:c r="B6" s="22" t="n">
        <x:v>0.15</x:v>
      </x:c>
      <x:c r="C6" s="24" t="n">
        <x:f>SUMIF('Risk Register'!B:B,A6,'Risk Register'!L:L)/COUNTIF('Risk Register'!B:B,A6)</x:f>
        <x:v>16.333333333333332</x:v>
      </x:c>
      <x:c r="D6" s="24" t="n">
        <x:f>MAXIFS('Risk Register'!L:L,'Risk Register'!B:B,A6)</x:f>
        <x:v>25</x:v>
      </x:c>
      <x:c r="E6" s="24" t="n">
        <x:f>COUNTIFS('Risk Register'!B:B,A6,'Risk Register'!H:H,"Critical")</x:f>
        <x:v>1</x:v>
      </x:c>
      <x:c r="F6" s="24" t="n">
        <x:f>COUNTIFS('Risk Register'!B:B,A6,'Risk Register'!H:H,"High")</x:f>
        <x:v>2</x:v>
      </x:c>
      <x:c r="G6" s="24" t="n">
        <x:f>MAX(0,100-(C6*4))</x:f>
        <x:v>34.66666666666667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44" hidden="0" customWidth="1"/>
    <x:col min="4" max="4" width="52" hidden="0" customWidth="1"/>
  </x:cols>
  <x:sheetData>
    <x:row r="1">
      <x:c r="A1" s="20" t="str">
        <x:v>Source Document</x:v>
      </x:c>
      <x:c r="B1" s="20" t="str">
        <x:v>Primary Factor</x:v>
      </x:c>
      <x:c r="C1" s="20" t="str">
        <x:v>Key Fields</x:v>
      </x:c>
      <x:c r="D1" s="20" t="str">
        <x:v>Seeded Red Flag</x:v>
      </x:c>
    </x:row>
    <x:row r="2">
      <x:c r="A2" t="str">
        <x:v>01_Land_and_Site_Due_Diligence.pdf</x:v>
      </x:c>
      <x:c r="B2" t="str">
        <x:v>Land</x:v>
      </x:c>
      <x:c r="C2" t="str">
        <x:v>site control; easements; slope; flood; geotech</x:v>
      </x:c>
      <x:c r="D2" t="str">
        <x:v>Unsigned Parcel 14 + heavy-haul easement ambiguity</x:v>
      </x:c>
    </x:row>
    <x:row r="3">
      <x:c r="A3" t="str">
        <x:v>02_Environmental_Water_and_Biodiversity_Assessment.pdf</x:v>
      </x:c>
      <x:c r="B3" t="str">
        <x:v>Law / Land</x:v>
      </x:c>
      <x:c r="C3" t="str">
        <x:v>habitat; wetlands; water; drainage</x:v>
      </x:c>
      <x:c r="D3" t="str">
        <x:v>Raptor buffer conflict + 32 acre-feet water gap</x:v>
      </x:c>
    </x:row>
    <x:row r="4">
      <x:c r="A4" t="str">
        <x:v>03_Legal_Regulatory_and_Permitting_Memo.pdf</x:v>
      </x:c>
      <x:c r="B4" t="str">
        <x:v>Law</x:v>
      </x:c>
      <x:c r="C4" t="str">
        <x:v>approval sequence; historical timing; dependencies</x:v>
      </x:c>
      <x:c r="D4" t="str">
        <x:v>Early works precede environmental milestone</x:v>
      </x:c>
    </x:row>
    <x:row r="5">
      <x:c r="A5" t="str">
        <x:v>04_Community_and_Stakeholder_Engagement_Report.pdf</x:v>
      </x:c>
      <x:c r="B5" t="str">
        <x:v>Land / Law</x:v>
      </x:c>
      <x:c r="C5" t="str">
        <x:v>stakeholders; sentiment; commitments</x:v>
      </x:c>
      <x:c r="D5" t="str">
        <x:v>Fallback truck route conflicts with community request</x:v>
      </x:c>
    </x:row>
    <x:row r="6">
      <x:c r="A6" t="str">
        <x:v>05_Demand_and_Offtake_Market_Study.pdf</x:v>
      </x:c>
      <x:c r="B6" t="str">
        <x:v>Demand</x:v>
      </x:c>
      <x:c r="C6" t="str">
        <x:v>contracted MW; merchant share; price index</x:v>
      </x:c>
      <x:c r="D6" t="str">
        <x:v>Only 150 MW firm vs 200 MW assumed</x:v>
      </x:c>
    </x:row>
    <x:row r="7">
      <x:c r="A7" t="str">
        <x:v>06_Materials_Supply_Chain_and_Price_Index.pdf</x:v>
      </x:c>
      <x:c r="B7" t="str">
        <x:v>Materials</x:v>
      </x:c>
      <x:c r="C7" t="str">
        <x:v>indices; lead times; supplier concentration</x:v>
      </x:c>
      <x:c r="D7" t="str">
        <x:v>Transformer 62 weeks vs 38 weeks schedule</x:v>
      </x:c>
    </x:row>
    <x:row r="8">
      <x:c r="A8" t="str">
        <x:v>07_Financial_Feasibility_and_Sensitivity_Memo.pdf</x:v>
      </x:c>
      <x:c r="B8" t="str">
        <x:v>Finance</x:v>
      </x:c>
      <x:c r="C8" t="str">
        <x:v>CAPEX; IRR; DSCR; financing conditions</x:v>
      </x:c>
      <x:c r="D8" t="str">
        <x:v>$186M model conflicts with $199-211M updated cost</x:v>
      </x:c>
    </x:row>
  </x:sheetData>
  <x:pageMargins left="0.7" right="0.7" top="0.75" bottom="0.75" header="0.3" footer="0.3"/>
</x:worksheet>
</file>